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Vintage" sheetId="1" state="visible" r:id="rId1"/>
    <sheet xmlns:r="http://schemas.openxmlformats.org/officeDocument/2006/relationships" name="Summary" sheetId="2" state="visible" r:id="rId2"/>
    <sheet xmlns:r="http://schemas.openxmlformats.org/officeDocument/2006/relationships" name="GDP_Growth" sheetId="3" state="visible" r:id="rId3"/>
    <sheet xmlns:r="http://schemas.openxmlformats.org/officeDocument/2006/relationships" name="GDP_Sectors" sheetId="4" state="visible" r:id="rId4"/>
    <sheet xmlns:r="http://schemas.openxmlformats.org/officeDocument/2006/relationships" name="Inflation" sheetId="5" state="visible" r:id="rId5"/>
    <sheet xmlns:r="http://schemas.openxmlformats.org/officeDocument/2006/relationships" name="Trade" sheetId="6" state="visible" r:id="rId6"/>
    <sheet xmlns:r="http://schemas.openxmlformats.org/officeDocument/2006/relationships" name="Commodities" sheetId="7" state="visible" r:id="rId7"/>
    <sheet xmlns:r="http://schemas.openxmlformats.org/officeDocument/2006/relationships" name="Trade_Sections" sheetId="8" state="visible" r:id="rId8"/>
    <sheet xmlns:r="http://schemas.openxmlformats.org/officeDocument/2006/relationships" name="Border_Prices" sheetId="9" state="visible" r:id="rId9"/>
    <sheet xmlns:r="http://schemas.openxmlformats.org/officeDocument/2006/relationships" name="External_Sector" sheetId="10" state="visible" r:id="rId10"/>
    <sheet xmlns:r="http://schemas.openxmlformats.org/officeDocument/2006/relationships" name="Banking" sheetId="11" state="visible" r:id="rId11"/>
    <sheet xmlns:r="http://schemas.openxmlformats.org/officeDocument/2006/relationships" name="Loan_Detail" sheetId="12" state="visible" r:id="rId12"/>
    <sheet xmlns:r="http://schemas.openxmlformats.org/officeDocument/2006/relationships" name="Real_Sector" sheetId="13" state="visible" r:id="rId13"/>
    <sheet xmlns:r="http://schemas.openxmlformats.org/officeDocument/2006/relationships" name="Sector_Charts" sheetId="14" state="visible" r:id="rId14"/>
    <sheet xmlns:r="http://schemas.openxmlformats.org/officeDocument/2006/relationships" name="Weekly_Prices" sheetId="15" state="visible" r:id="rId15"/>
    <sheet xmlns:r="http://schemas.openxmlformats.org/officeDocument/2006/relationships" name="Forecast" sheetId="16" state="visible" r:id="rId16"/>
    <sheet xmlns:r="http://schemas.openxmlformats.org/officeDocument/2006/relationships" name="Budget" sheetId="17" state="visible" r:id="rId17"/>
    <sheet xmlns:r="http://schemas.openxmlformats.org/officeDocument/2006/relationships" name="Coverage" sheetId="18" state="visible" r:id="rId18"/>
  </sheets>
  <definedNames/>
  <calcPr calcId="124519" fullCalcOnLoad="1"/>
</workbook>
</file>

<file path=xl/styles.xml><?xml version="1.0" encoding="utf-8"?>
<styleSheet xmlns="http://schemas.openxmlformats.org/spreadsheetml/2006/main">
  <numFmts count="5">
    <numFmt numFmtId="164" formatCode="#,##0;(#,##0);&quot;-&quot;"/>
    <numFmt numFmtId="165" formatCode="0.0%;(0.0%);&quot;-&quot;"/>
    <numFmt numFmtId="166" formatCode="#,##0.00;(#,##0.00);&quot;-&quot;"/>
    <numFmt numFmtId="167" formatCode="#,##0.0;(#,##0.0);&quot;-&quot;"/>
    <numFmt numFmtId="168" formatCode="0.0&quot;x&quot;"/>
  </numFmts>
  <fonts count="7">
    <font>
      <name val="Calibri"/>
      <family val="2"/>
      <color theme="1"/>
      <sz val="11"/>
      <scheme val="minor"/>
    </font>
    <font>
      <name val="Arial"/>
      <b val="1"/>
      <color rgb="001F3864"/>
      <sz val="13"/>
    </font>
    <font>
      <name val="Arial"/>
      <i val="1"/>
      <color rgb="00808080"/>
      <sz val="9"/>
    </font>
    <font>
      <name val="Arial"/>
      <b val="1"/>
      <sz val="10"/>
    </font>
    <font>
      <name val="Arial"/>
      <b val="1"/>
      <color rgb="00FFFFFF"/>
      <sz val="10"/>
    </font>
    <font>
      <name val="Arial"/>
      <sz val="10"/>
    </font>
    <font>
      <name val="Arial"/>
      <color rgb="00008000"/>
      <sz val="10"/>
    </font>
  </fonts>
  <fills count="10">
    <fill>
      <patternFill/>
    </fill>
    <fill>
      <patternFill patternType="gray125"/>
    </fill>
    <fill>
      <patternFill patternType="solid">
        <fgColor rgb="00C6EFCE"/>
      </patternFill>
    </fill>
    <fill>
      <patternFill patternType="solid">
        <fgColor rgb="001F3864"/>
      </patternFill>
    </fill>
    <fill>
      <patternFill patternType="solid">
        <fgColor rgb="00EDF2F9"/>
      </patternFill>
    </fill>
    <fill>
      <patternFill patternType="solid">
        <fgColor rgb="00FFFF00"/>
      </patternFill>
    </fill>
    <fill>
      <patternFill patternType="solid">
        <fgColor rgb="00FFC7CE"/>
      </patternFill>
    </fill>
    <fill>
      <patternFill patternType="solid">
        <fgColor rgb="00FFEB9C"/>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center" wrapText="1"/>
    </xf>
    <xf numFmtId="0" fontId="3" fillId="0" borderId="1" pivotButton="0" quotePrefix="0" xfId="0"/>
    <xf numFmtId="0" fontId="5" fillId="0" borderId="1" pivotButton="0" quotePrefix="0" xfId="0"/>
    <xf numFmtId="0" fontId="3" fillId="2" borderId="1" pivotButton="0" quotePrefix="0" xfId="0"/>
    <xf numFmtId="0" fontId="3" fillId="4" borderId="1" pivotButton="0" quotePrefix="0" xfId="0"/>
    <xf numFmtId="0" fontId="5" fillId="4" borderId="1" pivotButton="0" quotePrefix="0" xfId="0"/>
    <xf numFmtId="0" fontId="3" fillId="8" borderId="1" pivotButton="0" quotePrefix="0" xfId="0"/>
    <xf numFmtId="0" fontId="3" fillId="6" borderId="1" pivotButton="0" quotePrefix="0" xfId="0"/>
    <xf numFmtId="0" fontId="3" fillId="9" borderId="1" pivotButton="0" quotePrefix="0" xfId="0"/>
    <xf numFmtId="165" fontId="6" fillId="0" borderId="1" pivotButton="0" quotePrefix="0" xfId="0"/>
    <xf numFmtId="165" fontId="5" fillId="4" borderId="1" pivotButton="0" quotePrefix="0" xfId="0"/>
    <xf numFmtId="165" fontId="5" fillId="0" borderId="1" pivotButton="0" quotePrefix="0" xfId="0"/>
    <xf numFmtId="167" fontId="5" fillId="4" borderId="1" pivotButton="0" quotePrefix="0" xfId="0"/>
    <xf numFmtId="167" fontId="5" fillId="0" borderId="1" pivotButton="0" quotePrefix="0" xfId="0"/>
    <xf numFmtId="167" fontId="6" fillId="4" borderId="1" pivotButton="0" quotePrefix="0" xfId="0"/>
    <xf numFmtId="167" fontId="6" fillId="0" borderId="1" pivotButton="0" quotePrefix="0" xfId="0"/>
    <xf numFmtId="165" fontId="6" fillId="4" borderId="1" pivotButton="0" quotePrefix="0" xfId="0"/>
    <xf numFmtId="168" fontId="6" fillId="0" borderId="1" pivotButton="0" quotePrefix="0" xfId="0"/>
    <xf numFmtId="166" fontId="6" fillId="4" borderId="1" pivotButton="0" quotePrefix="0" xfId="0"/>
    <xf numFmtId="166" fontId="6" fillId="0" borderId="1" pivotButton="0" quotePrefix="0" xfId="0"/>
    <xf numFmtId="0" fontId="3" fillId="0" borderId="0" pivotButton="0" quotePrefix="0" xfId="0"/>
    <xf numFmtId="164" fontId="5" fillId="0" borderId="1" pivotButton="0" quotePrefix="0" xfId="0"/>
    <xf numFmtId="166" fontId="5" fillId="0" borderId="1" pivotButton="0" quotePrefix="0" xfId="0"/>
    <xf numFmtId="166" fontId="5" fillId="4" borderId="1" pivotButton="0" quotePrefix="0" xfId="0"/>
    <xf numFmtId="166" fontId="3" fillId="0" borderId="1" pivotButton="0" quotePrefix="0" xfId="0"/>
    <xf numFmtId="165" fontId="5" fillId="5" borderId="1" pivotButton="0" quotePrefix="0" xfId="0"/>
    <xf numFmtId="165" fontId="3" fillId="0" borderId="1" pivotButton="0" quotePrefix="0" xfId="0"/>
    <xf numFmtId="168" fontId="5" fillId="0" borderId="1" pivotButton="0" quotePrefix="0" xfId="0"/>
    <xf numFmtId="164" fontId="5" fillId="4" borderId="1" pivotButton="0" quotePrefix="0" xfId="0"/>
    <xf numFmtId="167" fontId="3" fillId="0" borderId="1" pivotButton="0" quotePrefix="0" xfId="0"/>
    <xf numFmtId="167" fontId="3" fillId="4" borderId="1" pivotButton="0" quotePrefix="0" xfId="0"/>
    <xf numFmtId="0" fontId="3" fillId="7" borderId="1" pivotButton="0" quotePrefix="0" xfId="0"/>
    <xf numFmtId="167" fontId="5"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Инфляц ба хүүгийн түвшин (inflation and rates)</a:t>
            </a:r>
          </a:p>
        </rich>
      </tx>
    </title>
    <plotArea>
      <lineChart>
        <grouping val="standard"/>
        <ser>
          <idx val="0"/>
          <order val="0"/>
          <tx>
            <strRef>
              <f>'Inflation'!B18</f>
            </strRef>
          </tx>
          <spPr>
            <a:ln xmlns:a="http://schemas.openxmlformats.org/drawingml/2006/main" w="20000">
              <a:solidFill>
                <a:srgbClr val="7030A0"/>
              </a:solidFill>
              <a:prstDash val="solid"/>
            </a:ln>
          </spPr>
          <marker>
            <symbol val="none"/>
            <spPr>
              <a:ln xmlns:a="http://schemas.openxmlformats.org/drawingml/2006/main">
                <a:prstDash val="solid"/>
              </a:ln>
            </spPr>
          </marker>
          <cat>
            <numRef>
              <f>'Inflation'!$A$19:$A$33</f>
            </numRef>
          </cat>
          <val>
            <numRef>
              <f>'Inflation'!$B$19:$B$33</f>
            </numRef>
          </val>
          <smooth val="0"/>
        </ser>
        <ser>
          <idx val="1"/>
          <order val="1"/>
          <tx>
            <strRef>
              <f>'Inflation'!D18</f>
            </strRef>
          </tx>
          <spPr>
            <a:ln xmlns:a="http://schemas.openxmlformats.org/drawingml/2006/main" w="20000">
              <a:solidFill>
                <a:srgbClr val="A5A5A5"/>
              </a:solidFill>
              <a:prstDash val="solid"/>
            </a:ln>
          </spPr>
          <marker>
            <symbol val="none"/>
            <spPr>
              <a:ln xmlns:a="http://schemas.openxmlformats.org/drawingml/2006/main">
                <a:prstDash val="solid"/>
              </a:ln>
            </spPr>
          </marker>
          <cat>
            <numRef>
              <f>'Inflation'!$A$19:$A$33</f>
            </numRef>
          </cat>
          <val>
            <numRef>
              <f>'Inflation'!$D$19:$D$33</f>
            </numRef>
          </val>
          <smooth val="0"/>
        </ser>
        <ser>
          <idx val="2"/>
          <order val="2"/>
          <tx>
            <strRef>
              <f>'Inflation'!E18</f>
            </strRef>
          </tx>
          <spPr>
            <a:ln xmlns:a="http://schemas.openxmlformats.org/drawingml/2006/main" w="20000">
              <a:solidFill>
                <a:srgbClr val="FFC000"/>
              </a:solidFill>
              <a:prstDash val="solid"/>
            </a:ln>
          </spPr>
          <marker>
            <symbol val="none"/>
            <spPr>
              <a:ln xmlns:a="http://schemas.openxmlformats.org/drawingml/2006/main">
                <a:prstDash val="solid"/>
              </a:ln>
            </spPr>
          </marker>
          <cat>
            <numRef>
              <f>'Inflation'!$A$19:$A$33</f>
            </numRef>
          </cat>
          <val>
            <numRef>
              <f>'Inflation'!$E$19:$E$33</f>
            </numRef>
          </val>
          <smooth val="0"/>
        </ser>
        <ser>
          <idx val="3"/>
          <order val="3"/>
          <tx>
            <strRef>
              <f>'Inflation'!F18</f>
            </strRef>
          </tx>
          <spPr>
            <a:ln xmlns:a="http://schemas.openxmlformats.org/drawingml/2006/main" w="20000">
              <a:solidFill>
                <a:srgbClr val="5B9BD5"/>
              </a:solidFill>
              <a:prstDash val="solid"/>
            </a:ln>
          </spPr>
          <marker>
            <symbol val="none"/>
            <spPr>
              <a:ln xmlns:a="http://schemas.openxmlformats.org/drawingml/2006/main">
                <a:prstDash val="solid"/>
              </a:ln>
            </spPr>
          </marker>
          <cat>
            <numRef>
              <f>'Inflation'!$A$19:$A$33</f>
            </numRef>
          </cat>
          <val>
            <numRef>
              <f>'Inflation'!$F$19:$F$33</f>
            </numRef>
          </val>
          <smooth val="0"/>
        </ser>
        <ser>
          <idx val="4"/>
          <order val="4"/>
          <tx>
            <strRef>
              <f>'Inflation'!G18</f>
            </strRef>
          </tx>
          <spPr>
            <a:ln xmlns:a="http://schemas.openxmlformats.org/drawingml/2006/main" w="20000">
              <a:solidFill>
                <a:srgbClr val="70AD47"/>
              </a:solidFill>
              <a:prstDash val="solid"/>
            </a:ln>
          </spPr>
          <marker>
            <symbol val="none"/>
            <spPr>
              <a:ln xmlns:a="http://schemas.openxmlformats.org/drawingml/2006/main">
                <a:prstDash val="solid"/>
              </a:ln>
            </spPr>
          </marker>
          <cat>
            <numRef>
              <f>'Inflation'!$A$19:$A$33</f>
            </numRef>
          </cat>
          <val>
            <numRef>
              <f>'Inflation'!$G$19:$G$33</f>
            </numRef>
          </val>
          <smooth val="0"/>
        </ser>
        <ser>
          <idx val="5"/>
          <order val="5"/>
          <tx>
            <strRef>
              <f>'Inflation'!H18</f>
            </strRef>
          </tx>
          <spPr>
            <a:ln xmlns:a="http://schemas.openxmlformats.org/drawingml/2006/main" w="20000">
              <a:solidFill>
                <a:srgbClr val="4472C4"/>
              </a:solidFill>
              <a:prstDash val="solid"/>
            </a:ln>
          </spPr>
          <marker>
            <symbol val="none"/>
            <spPr>
              <a:ln xmlns:a="http://schemas.openxmlformats.org/drawingml/2006/main">
                <a:prstDash val="solid"/>
              </a:ln>
            </spPr>
          </marker>
          <cat>
            <numRef>
              <f>'Inflation'!$A$19:$A$33</f>
            </numRef>
          </cat>
          <val>
            <numRef>
              <f>'Inflation'!$H$19:$H$33</f>
            </numRef>
          </val>
          <smooth val="0"/>
        </ser>
        <axId val="10"/>
        <axId val="100"/>
      </lineChart>
      <catAx>
        <axId val="10"/>
        <scaling>
          <orientation val="minMax"/>
        </scaling>
        <axPos val="l"/>
        <majorTickMark val="none"/>
        <minorTickMark val="none"/>
        <crossAx val="100"/>
        <lblOffset val="100"/>
        <tickLblSkip val="2"/>
        <tickMarkSkip val="2"/>
      </catAx>
      <valAx>
        <axId val="100"/>
        <scaling>
          <orientation val="minMax"/>
        </scaling>
        <axPos val="l"/>
        <numFmt formatCode="0.0%" sourceLinked="0"/>
        <majorTickMark val="none"/>
        <minorTickMark val="none"/>
        <crossAx val="10"/>
      </valAx>
    </plotArea>
    <legend>
      <legendPos val="b"/>
      <overlay val="0"/>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Худалдааны салбарын нийт борлуулалт — хувь нэмэр, 2026-06</a:t>
            </a:r>
          </a:p>
        </rich>
      </tx>
    </title>
    <plotArea>
      <barChart>
        <barDir val="col"/>
        <grouping val="stacked"/>
        <ser>
          <idx val="0"/>
          <order val="0"/>
          <tx>
            <strRef>
              <f>'Sector_Charts'!B7</f>
            </strRef>
          </tx>
          <spPr>
            <a:solidFill xmlns:a="http://schemas.openxmlformats.org/drawingml/2006/main">
              <a:srgbClr val="7030A0"/>
            </a:solidFill>
            <a:ln xmlns:a="http://schemas.openxmlformats.org/drawingml/2006/main">
              <a:noFill/>
              <a:prstDash val="solid"/>
            </a:ln>
          </spPr>
          <cat>
            <numRef>
              <f>'Sector_Charts'!$A$8:$A$43</f>
            </numRef>
          </cat>
          <val>
            <numRef>
              <f>'Sector_Charts'!$B$8:$B$43</f>
            </numRef>
          </val>
        </ser>
        <ser>
          <idx val="1"/>
          <order val="1"/>
          <tx>
            <strRef>
              <f>'Sector_Charts'!C7</f>
            </strRef>
          </tx>
          <spPr>
            <a:solidFill xmlns:a="http://schemas.openxmlformats.org/drawingml/2006/main">
              <a:srgbClr val="A5A5A5"/>
            </a:solidFill>
            <a:ln xmlns:a="http://schemas.openxmlformats.org/drawingml/2006/main">
              <a:noFill/>
              <a:prstDash val="solid"/>
            </a:ln>
          </spPr>
          <cat>
            <numRef>
              <f>'Sector_Charts'!$A$8:$A$43</f>
            </numRef>
          </cat>
          <val>
            <numRef>
              <f>'Sector_Charts'!$C$8:$C$43</f>
            </numRef>
          </val>
        </ser>
        <ser>
          <idx val="2"/>
          <order val="2"/>
          <tx>
            <strRef>
              <f>'Sector_Charts'!D7</f>
            </strRef>
          </tx>
          <spPr>
            <a:solidFill xmlns:a="http://schemas.openxmlformats.org/drawingml/2006/main">
              <a:srgbClr val="FFC000"/>
            </a:solidFill>
            <a:ln xmlns:a="http://schemas.openxmlformats.org/drawingml/2006/main">
              <a:noFill/>
              <a:prstDash val="solid"/>
            </a:ln>
          </spPr>
          <cat>
            <numRef>
              <f>'Sector_Charts'!$A$8:$A$43</f>
            </numRef>
          </cat>
          <val>
            <numRef>
              <f>'Sector_Charts'!$D$8:$D$43</f>
            </numRef>
          </val>
        </ser>
        <ser>
          <idx val="3"/>
          <order val="3"/>
          <tx>
            <strRef>
              <f>'Sector_Charts'!E7</f>
            </strRef>
          </tx>
          <spPr>
            <a:solidFill xmlns:a="http://schemas.openxmlformats.org/drawingml/2006/main">
              <a:srgbClr val="5B9BD5"/>
            </a:solidFill>
            <a:ln xmlns:a="http://schemas.openxmlformats.org/drawingml/2006/main">
              <a:noFill/>
              <a:prstDash val="solid"/>
            </a:ln>
          </spPr>
          <cat>
            <numRef>
              <f>'Sector_Charts'!$A$8:$A$43</f>
            </numRef>
          </cat>
          <val>
            <numRef>
              <f>'Sector_Charts'!$E$8:$E$43</f>
            </numRef>
          </val>
        </ser>
        <ser>
          <idx val="4"/>
          <order val="4"/>
          <tx>
            <strRef>
              <f>'Sector_Charts'!F7</f>
            </strRef>
          </tx>
          <spPr>
            <a:solidFill xmlns:a="http://schemas.openxmlformats.org/drawingml/2006/main">
              <a:srgbClr val="70AD47"/>
            </a:solidFill>
            <a:ln xmlns:a="http://schemas.openxmlformats.org/drawingml/2006/main">
              <a:noFill/>
              <a:prstDash val="solid"/>
            </a:ln>
          </spPr>
          <cat>
            <numRef>
              <f>'Sector_Charts'!$A$8:$A$43</f>
            </numRef>
          </cat>
          <val>
            <numRef>
              <f>'Sector_Charts'!$F$8:$F$43</f>
            </numRef>
          </val>
        </ser>
        <gapWidth val="0"/>
        <overlap val="100"/>
        <axId val="10"/>
        <axId val="100"/>
      </barChart>
      <lineChart>
        <grouping val="standard"/>
        <ser>
          <idx val="5"/>
          <order val="5"/>
          <tx>
            <strRef>
              <f>'Sector_Charts'!G7</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'Sector_Charts'!$A$8:$A$43</f>
            </numRef>
          </cat>
          <val>
            <numRef>
              <f>'Sector_Charts'!$G$8:$G$43</f>
            </numRef>
          </val>
          <smooth val="0"/>
        </ser>
        <axId val="10"/>
        <axId val="100"/>
      </lineChart>
      <catAx>
        <axId val="10"/>
        <scaling>
          <orientation val="minMax"/>
        </scaling>
        <delete val="0"/>
        <axPos val="l"/>
        <majorTickMark val="out"/>
        <minorTickMark val="none"/>
        <crossAx val="100"/>
        <lblOffset val="100"/>
        <tickLblSkip val="6"/>
        <tickMarkSkip val="6"/>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Зочид буудлын салбарын орлого — хувь нэмэр, 2026-06</a:t>
            </a:r>
          </a:p>
        </rich>
      </tx>
    </title>
    <plotArea>
      <barChart>
        <barDir val="col"/>
        <grouping val="stacked"/>
        <ser>
          <idx val="0"/>
          <order val="0"/>
          <tx>
            <strRef>
              <f>'Sector_Charts'!B68</f>
            </strRef>
          </tx>
          <spPr>
            <a:solidFill xmlns:a="http://schemas.openxmlformats.org/drawingml/2006/main">
              <a:srgbClr val="7030A0"/>
            </a:solidFill>
            <a:ln xmlns:a="http://schemas.openxmlformats.org/drawingml/2006/main">
              <a:noFill/>
              <a:prstDash val="solid"/>
            </a:ln>
          </spPr>
          <cat>
            <numRef>
              <f>'Sector_Charts'!$A$69:$A$104</f>
            </numRef>
          </cat>
          <val>
            <numRef>
              <f>'Sector_Charts'!$B$69:$B$104</f>
            </numRef>
          </val>
        </ser>
        <ser>
          <idx val="1"/>
          <order val="1"/>
          <tx>
            <strRef>
              <f>'Sector_Charts'!C68</f>
            </strRef>
          </tx>
          <spPr>
            <a:solidFill xmlns:a="http://schemas.openxmlformats.org/drawingml/2006/main">
              <a:srgbClr val="A5A5A5"/>
            </a:solidFill>
            <a:ln xmlns:a="http://schemas.openxmlformats.org/drawingml/2006/main">
              <a:noFill/>
              <a:prstDash val="solid"/>
            </a:ln>
          </spPr>
          <cat>
            <numRef>
              <f>'Sector_Charts'!$A$69:$A$104</f>
            </numRef>
          </cat>
          <val>
            <numRef>
              <f>'Sector_Charts'!$C$69:$C$104</f>
            </numRef>
          </val>
        </ser>
        <ser>
          <idx val="2"/>
          <order val="2"/>
          <tx>
            <strRef>
              <f>'Sector_Charts'!D68</f>
            </strRef>
          </tx>
          <spPr>
            <a:solidFill xmlns:a="http://schemas.openxmlformats.org/drawingml/2006/main">
              <a:srgbClr val="FFC000"/>
            </a:solidFill>
            <a:ln xmlns:a="http://schemas.openxmlformats.org/drawingml/2006/main">
              <a:noFill/>
              <a:prstDash val="solid"/>
            </a:ln>
          </spPr>
          <cat>
            <numRef>
              <f>'Sector_Charts'!$A$69:$A$104</f>
            </numRef>
          </cat>
          <val>
            <numRef>
              <f>'Sector_Charts'!$D$69:$D$104</f>
            </numRef>
          </val>
        </ser>
        <ser>
          <idx val="3"/>
          <order val="3"/>
          <tx>
            <strRef>
              <f>'Sector_Charts'!E68</f>
            </strRef>
          </tx>
          <spPr>
            <a:solidFill xmlns:a="http://schemas.openxmlformats.org/drawingml/2006/main">
              <a:srgbClr val="5B9BD5"/>
            </a:solidFill>
            <a:ln xmlns:a="http://schemas.openxmlformats.org/drawingml/2006/main">
              <a:noFill/>
              <a:prstDash val="solid"/>
            </a:ln>
          </spPr>
          <cat>
            <numRef>
              <f>'Sector_Charts'!$A$69:$A$104</f>
            </numRef>
          </cat>
          <val>
            <numRef>
              <f>'Sector_Charts'!$E$69:$E$104</f>
            </numRef>
          </val>
        </ser>
        <ser>
          <idx val="4"/>
          <order val="4"/>
          <tx>
            <strRef>
              <f>'Sector_Charts'!F68</f>
            </strRef>
          </tx>
          <spPr>
            <a:solidFill xmlns:a="http://schemas.openxmlformats.org/drawingml/2006/main">
              <a:srgbClr val="70AD47"/>
            </a:solidFill>
            <a:ln xmlns:a="http://schemas.openxmlformats.org/drawingml/2006/main">
              <a:noFill/>
              <a:prstDash val="solid"/>
            </a:ln>
          </spPr>
          <cat>
            <numRef>
              <f>'Sector_Charts'!$A$69:$A$104</f>
            </numRef>
          </cat>
          <val>
            <numRef>
              <f>'Sector_Charts'!$F$69:$F$104</f>
            </numRef>
          </val>
        </ser>
        <gapWidth val="0"/>
        <overlap val="100"/>
        <axId val="10"/>
        <axId val="100"/>
      </barChart>
      <lineChart>
        <grouping val="standard"/>
        <ser>
          <idx val="5"/>
          <order val="5"/>
          <tx>
            <strRef>
              <f>'Sector_Charts'!G68</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'Sector_Charts'!$A$69:$A$104</f>
            </numRef>
          </cat>
          <val>
            <numRef>
              <f>'Sector_Charts'!$G$69:$G$104</f>
            </numRef>
          </val>
          <smooth val="0"/>
        </ser>
        <axId val="10"/>
        <axId val="100"/>
      </lineChart>
      <catAx>
        <axId val="10"/>
        <scaling>
          <orientation val="minMax"/>
        </scaling>
        <delete val="0"/>
        <axPos val="l"/>
        <majorTickMark val="out"/>
        <minorTickMark val="none"/>
        <crossAx val="100"/>
        <lblOffset val="100"/>
        <tickLblSkip val="6"/>
        <tickMarkSkip val="6"/>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Зочид буудлын салбарын орлого — түвшин ба өсөлт</a:t>
            </a:r>
          </a:p>
        </rich>
      </tx>
    </title>
    <plotArea>
      <barChart>
        <barDir val="col"/>
        <grouping val="clustered"/>
        <ser>
          <idx val="0"/>
          <order val="0"/>
          <tx>
            <strRef>
              <f>'Sector_Charts'!B106</f>
            </strRef>
          </tx>
          <spPr>
            <a:solidFill xmlns:a="http://schemas.openxmlformats.org/drawingml/2006/main">
              <a:srgbClr val="BFBFBF"/>
            </a:solidFill>
            <a:ln xmlns:a="http://schemas.openxmlformats.org/drawingml/2006/main">
              <a:solidFill>
                <a:srgbClr val="808080"/>
              </a:solidFill>
              <a:prstDash val="solid"/>
            </a:ln>
          </spPr>
          <cat>
            <numRef>
              <f>'Sector_Charts'!$A$107:$A$142</f>
            </numRef>
          </cat>
          <val>
            <numRef>
              <f>'Sector_Charts'!$B$107:$B$142</f>
            </numRef>
          </val>
        </ser>
        <gapWidth val="50"/>
        <axId val="10"/>
        <axId val="100"/>
      </barChart>
      <lineChart>
        <grouping val="standard"/>
        <ser>
          <idx val="1"/>
          <order val="1"/>
          <tx>
            <strRef>
              <f>'Sector_Charts'!C106</f>
            </strRef>
          </tx>
          <spPr>
            <a:ln xmlns:a="http://schemas.openxmlformats.org/drawingml/2006/main" w="22000">
              <a:solidFill>
                <a:srgbClr val="000000"/>
              </a:solidFill>
              <a:prstDash val="solid"/>
            </a:ln>
          </spPr>
          <marker>
            <symbol val="none"/>
            <spPr>
              <a:ln xmlns:a="http://schemas.openxmlformats.org/drawingml/2006/main">
                <a:prstDash val="solid"/>
              </a:ln>
            </spPr>
          </marker>
          <val>
            <numRef>
              <f>'Sector_Charts'!$C$107:$C$142</f>
            </numRef>
          </val>
          <smooth val="0"/>
        </ser>
        <axId val="10"/>
        <axId val="200"/>
      </lineChart>
      <catAx>
        <axId val="10"/>
        <scaling>
          <orientation val="minMax"/>
        </scaling>
        <axPos val="l"/>
        <majorTickMark val="none"/>
        <minorTickMark val="none"/>
        <crossAx val="100"/>
        <lblOffset val="100"/>
        <tickLblSkip val="6"/>
        <tickMarkSkip val="6"/>
      </catAx>
      <valAx>
        <axId val="100"/>
        <scaling>
          <orientation val="minMax"/>
        </scaling>
        <axPos val="l"/>
        <title>
          <tx>
            <rich>
              <a:bodyPr xmlns:a="http://schemas.openxmlformats.org/drawingml/2006/main"/>
              <a:p xmlns:a="http://schemas.openxmlformats.org/drawingml/2006/main">
                <a:pPr>
                  <a:defRPr/>
                </a:pPr>
                <a:r>
                  <a:t>сая төг</a:t>
                </a:r>
              </a:p>
            </rich>
          </tx>
        </title>
        <numFmt formatCode="#,##0" sourceLinked="0"/>
        <majorTickMark val="none"/>
        <minorTickMark val="none"/>
        <crossAx val="10"/>
      </valAx>
      <valAx>
        <axId val="200"/>
        <scaling>
          <orientation val="minMax"/>
        </scaling>
        <axPos val="l"/>
        <title>
          <tx>
            <rich>
              <a:bodyPr xmlns:a="http://schemas.openxmlformats.org/drawingml/2006/main"/>
              <a:p xmlns:a="http://schemas.openxmlformats.org/drawingml/2006/main">
                <a:pPr>
                  <a:defRPr/>
                </a:pPr>
                <a:r>
                  <a:t>Жилийн өсөлт</a:t>
                </a:r>
              </a:p>
            </rich>
          </tx>
        </title>
        <numFmt formatCode="0.0%" sourceLinked="0"/>
        <majorTickMark val="none"/>
        <minorTickMark val="none"/>
        <crossAx val="10"/>
        <crosses val="max"/>
      </valAx>
    </plotArea>
    <legend>
      <legendPos val="b"/>
      <overlay val="0"/>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Нийтийн хоолны салбарын орлого — хувь нэмэр, 2026-06</a:t>
            </a:r>
          </a:p>
        </rich>
      </tx>
    </title>
    <plotArea>
      <barChart>
        <barDir val="col"/>
        <grouping val="stacked"/>
        <ser>
          <idx val="0"/>
          <order val="0"/>
          <tx>
            <strRef>
              <f>'Sector_Charts'!B166</f>
            </strRef>
          </tx>
          <spPr>
            <a:solidFill xmlns:a="http://schemas.openxmlformats.org/drawingml/2006/main">
              <a:srgbClr val="7030A0"/>
            </a:solidFill>
            <a:ln xmlns:a="http://schemas.openxmlformats.org/drawingml/2006/main">
              <a:noFill/>
              <a:prstDash val="solid"/>
            </a:ln>
          </spPr>
          <cat>
            <numRef>
              <f>'Sector_Charts'!$A$167:$A$202</f>
            </numRef>
          </cat>
          <val>
            <numRef>
              <f>'Sector_Charts'!$B$167:$B$202</f>
            </numRef>
          </val>
        </ser>
        <ser>
          <idx val="1"/>
          <order val="1"/>
          <tx>
            <strRef>
              <f>'Sector_Charts'!C166</f>
            </strRef>
          </tx>
          <spPr>
            <a:solidFill xmlns:a="http://schemas.openxmlformats.org/drawingml/2006/main">
              <a:srgbClr val="A5A5A5"/>
            </a:solidFill>
            <a:ln xmlns:a="http://schemas.openxmlformats.org/drawingml/2006/main">
              <a:noFill/>
              <a:prstDash val="solid"/>
            </a:ln>
          </spPr>
          <cat>
            <numRef>
              <f>'Sector_Charts'!$A$167:$A$202</f>
            </numRef>
          </cat>
          <val>
            <numRef>
              <f>'Sector_Charts'!$C$167:$C$202</f>
            </numRef>
          </val>
        </ser>
        <ser>
          <idx val="2"/>
          <order val="2"/>
          <tx>
            <strRef>
              <f>'Sector_Charts'!D166</f>
            </strRef>
          </tx>
          <spPr>
            <a:solidFill xmlns:a="http://schemas.openxmlformats.org/drawingml/2006/main">
              <a:srgbClr val="FFC000"/>
            </a:solidFill>
            <a:ln xmlns:a="http://schemas.openxmlformats.org/drawingml/2006/main">
              <a:noFill/>
              <a:prstDash val="solid"/>
            </a:ln>
          </spPr>
          <cat>
            <numRef>
              <f>'Sector_Charts'!$A$167:$A$202</f>
            </numRef>
          </cat>
          <val>
            <numRef>
              <f>'Sector_Charts'!$D$167:$D$202</f>
            </numRef>
          </val>
        </ser>
        <ser>
          <idx val="3"/>
          <order val="3"/>
          <tx>
            <strRef>
              <f>'Sector_Charts'!E166</f>
            </strRef>
          </tx>
          <spPr>
            <a:solidFill xmlns:a="http://schemas.openxmlformats.org/drawingml/2006/main">
              <a:srgbClr val="5B9BD5"/>
            </a:solidFill>
            <a:ln xmlns:a="http://schemas.openxmlformats.org/drawingml/2006/main">
              <a:noFill/>
              <a:prstDash val="solid"/>
            </a:ln>
          </spPr>
          <cat>
            <numRef>
              <f>'Sector_Charts'!$A$167:$A$202</f>
            </numRef>
          </cat>
          <val>
            <numRef>
              <f>'Sector_Charts'!$E$167:$E$202</f>
            </numRef>
          </val>
        </ser>
        <ser>
          <idx val="4"/>
          <order val="4"/>
          <tx>
            <strRef>
              <f>'Sector_Charts'!F166</f>
            </strRef>
          </tx>
          <spPr>
            <a:solidFill xmlns:a="http://schemas.openxmlformats.org/drawingml/2006/main">
              <a:srgbClr val="70AD47"/>
            </a:solidFill>
            <a:ln xmlns:a="http://schemas.openxmlformats.org/drawingml/2006/main">
              <a:noFill/>
              <a:prstDash val="solid"/>
            </a:ln>
          </spPr>
          <cat>
            <numRef>
              <f>'Sector_Charts'!$A$167:$A$202</f>
            </numRef>
          </cat>
          <val>
            <numRef>
              <f>'Sector_Charts'!$F$167:$F$202</f>
            </numRef>
          </val>
        </ser>
        <gapWidth val="0"/>
        <overlap val="100"/>
        <axId val="10"/>
        <axId val="100"/>
      </barChart>
      <lineChart>
        <grouping val="standard"/>
        <ser>
          <idx val="5"/>
          <order val="5"/>
          <tx>
            <strRef>
              <f>'Sector_Charts'!G166</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'Sector_Charts'!$A$167:$A$202</f>
            </numRef>
          </cat>
          <val>
            <numRef>
              <f>'Sector_Charts'!$G$167:$G$202</f>
            </numRef>
          </val>
          <smooth val="0"/>
        </ser>
        <axId val="10"/>
        <axId val="100"/>
      </lineChart>
      <catAx>
        <axId val="10"/>
        <scaling>
          <orientation val="minMax"/>
        </scaling>
        <delete val="0"/>
        <axPos val="l"/>
        <majorTickMark val="out"/>
        <minorTickMark val="none"/>
        <crossAx val="100"/>
        <lblOffset val="100"/>
        <tickLblSkip val="6"/>
        <tickMarkSkip val="6"/>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Нийтийн хоолны салбарын орлого — түвшин ба өсөлт</a:t>
            </a:r>
          </a:p>
        </rich>
      </tx>
    </title>
    <plotArea>
      <barChart>
        <barDir val="col"/>
        <grouping val="clustered"/>
        <ser>
          <idx val="0"/>
          <order val="0"/>
          <tx>
            <strRef>
              <f>'Sector_Charts'!B204</f>
            </strRef>
          </tx>
          <spPr>
            <a:solidFill xmlns:a="http://schemas.openxmlformats.org/drawingml/2006/main">
              <a:srgbClr val="BFBFBF"/>
            </a:solidFill>
            <a:ln xmlns:a="http://schemas.openxmlformats.org/drawingml/2006/main">
              <a:solidFill>
                <a:srgbClr val="808080"/>
              </a:solidFill>
              <a:prstDash val="solid"/>
            </a:ln>
          </spPr>
          <cat>
            <numRef>
              <f>'Sector_Charts'!$A$205:$A$240</f>
            </numRef>
          </cat>
          <val>
            <numRef>
              <f>'Sector_Charts'!$B$205:$B$240</f>
            </numRef>
          </val>
        </ser>
        <gapWidth val="50"/>
        <axId val="10"/>
        <axId val="100"/>
      </barChart>
      <lineChart>
        <grouping val="standard"/>
        <ser>
          <idx val="1"/>
          <order val="1"/>
          <tx>
            <strRef>
              <f>'Sector_Charts'!C204</f>
            </strRef>
          </tx>
          <spPr>
            <a:ln xmlns:a="http://schemas.openxmlformats.org/drawingml/2006/main" w="22000">
              <a:solidFill>
                <a:srgbClr val="000000"/>
              </a:solidFill>
              <a:prstDash val="solid"/>
            </a:ln>
          </spPr>
          <marker>
            <symbol val="none"/>
            <spPr>
              <a:ln xmlns:a="http://schemas.openxmlformats.org/drawingml/2006/main">
                <a:prstDash val="solid"/>
              </a:ln>
            </spPr>
          </marker>
          <val>
            <numRef>
              <f>'Sector_Charts'!$C$205:$C$240</f>
            </numRef>
          </val>
          <smooth val="0"/>
        </ser>
        <axId val="10"/>
        <axId val="200"/>
      </lineChart>
      <catAx>
        <axId val="10"/>
        <scaling>
          <orientation val="minMax"/>
        </scaling>
        <axPos val="l"/>
        <majorTickMark val="none"/>
        <minorTickMark val="none"/>
        <crossAx val="100"/>
        <lblOffset val="100"/>
        <tickLblSkip val="6"/>
        <tickMarkSkip val="6"/>
      </catAx>
      <valAx>
        <axId val="100"/>
        <scaling>
          <orientation val="minMax"/>
        </scaling>
        <axPos val="l"/>
        <title>
          <tx>
            <rich>
              <a:bodyPr xmlns:a="http://schemas.openxmlformats.org/drawingml/2006/main"/>
              <a:p xmlns:a="http://schemas.openxmlformats.org/drawingml/2006/main">
                <a:pPr>
                  <a:defRPr/>
                </a:pPr>
                <a:r>
                  <a:t>сая төг</a:t>
                </a:r>
              </a:p>
            </rich>
          </tx>
        </title>
        <numFmt formatCode="#,##0" sourceLinked="0"/>
        <majorTickMark val="none"/>
        <minorTickMark val="none"/>
        <crossAx val="10"/>
      </valAx>
      <valAx>
        <axId val="200"/>
        <scaling>
          <orientation val="minMax"/>
        </scaling>
        <axPos val="l"/>
        <title>
          <tx>
            <rich>
              <a:bodyPr xmlns:a="http://schemas.openxmlformats.org/drawingml/2006/main"/>
              <a:p xmlns:a="http://schemas.openxmlformats.org/drawingml/2006/main">
                <a:pPr>
                  <a:defRPr/>
                </a:pPr>
                <a:r>
                  <a:t>Жилийн өсөлт</a:t>
                </a:r>
              </a:p>
            </rich>
          </tx>
        </title>
        <numFmt formatCode="0.0%" sourceLinked="0"/>
        <majorTickMark val="none"/>
        <minorTickMark val="none"/>
        <crossAx val="10"/>
        <crosses val="max"/>
      </valAx>
    </plotArea>
    <legend>
      <legendPos val="b"/>
      <overlay val="0"/>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Барилга угсралт, их засварын ажил — хувь нэмэр, 2026-Q2</a:t>
            </a:r>
          </a:p>
        </rich>
      </tx>
    </title>
    <plotArea>
      <barChart>
        <barDir val="col"/>
        <grouping val="stacked"/>
        <ser>
          <idx val="0"/>
          <order val="0"/>
          <tx>
            <strRef>
              <f>'Sector_Charts'!B264</f>
            </strRef>
          </tx>
          <spPr>
            <a:solidFill xmlns:a="http://schemas.openxmlformats.org/drawingml/2006/main">
              <a:srgbClr val="7030A0"/>
            </a:solidFill>
            <a:ln xmlns:a="http://schemas.openxmlformats.org/drawingml/2006/main">
              <a:noFill/>
              <a:prstDash val="solid"/>
            </a:ln>
          </spPr>
          <cat>
            <numRef>
              <f>'Sector_Charts'!$A$265:$A$280</f>
            </numRef>
          </cat>
          <val>
            <numRef>
              <f>'Sector_Charts'!$B$265:$B$280</f>
            </numRef>
          </val>
        </ser>
        <ser>
          <idx val="1"/>
          <order val="1"/>
          <tx>
            <strRef>
              <f>'Sector_Charts'!C264</f>
            </strRef>
          </tx>
          <spPr>
            <a:solidFill xmlns:a="http://schemas.openxmlformats.org/drawingml/2006/main">
              <a:srgbClr val="A5A5A5"/>
            </a:solidFill>
            <a:ln xmlns:a="http://schemas.openxmlformats.org/drawingml/2006/main">
              <a:noFill/>
              <a:prstDash val="solid"/>
            </a:ln>
          </spPr>
          <cat>
            <numRef>
              <f>'Sector_Charts'!$A$265:$A$280</f>
            </numRef>
          </cat>
          <val>
            <numRef>
              <f>'Sector_Charts'!$C$265:$C$280</f>
            </numRef>
          </val>
        </ser>
        <ser>
          <idx val="2"/>
          <order val="2"/>
          <tx>
            <strRef>
              <f>'Sector_Charts'!D264</f>
            </strRef>
          </tx>
          <spPr>
            <a:solidFill xmlns:a="http://schemas.openxmlformats.org/drawingml/2006/main">
              <a:srgbClr val="FFC000"/>
            </a:solidFill>
            <a:ln xmlns:a="http://schemas.openxmlformats.org/drawingml/2006/main">
              <a:noFill/>
              <a:prstDash val="solid"/>
            </a:ln>
          </spPr>
          <cat>
            <numRef>
              <f>'Sector_Charts'!$A$265:$A$280</f>
            </numRef>
          </cat>
          <val>
            <numRef>
              <f>'Sector_Charts'!$D$265:$D$280</f>
            </numRef>
          </val>
        </ser>
        <ser>
          <idx val="3"/>
          <order val="3"/>
          <tx>
            <strRef>
              <f>'Sector_Charts'!E264</f>
            </strRef>
          </tx>
          <spPr>
            <a:solidFill xmlns:a="http://schemas.openxmlformats.org/drawingml/2006/main">
              <a:srgbClr val="5B9BD5"/>
            </a:solidFill>
            <a:ln xmlns:a="http://schemas.openxmlformats.org/drawingml/2006/main">
              <a:noFill/>
              <a:prstDash val="solid"/>
            </a:ln>
          </spPr>
          <cat>
            <numRef>
              <f>'Sector_Charts'!$A$265:$A$280</f>
            </numRef>
          </cat>
          <val>
            <numRef>
              <f>'Sector_Charts'!$E$265:$E$280</f>
            </numRef>
          </val>
        </ser>
        <gapWidth val="0"/>
        <overlap val="100"/>
        <axId val="10"/>
        <axId val="100"/>
      </barChart>
      <lineChart>
        <grouping val="standard"/>
        <ser>
          <idx val="4"/>
          <order val="4"/>
          <tx>
            <strRef>
              <f>'Sector_Charts'!F264</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'Sector_Charts'!$A$265:$A$280</f>
            </numRef>
          </cat>
          <val>
            <numRef>
              <f>'Sector_Charts'!$F$265:$F$280</f>
            </numRef>
          </val>
          <smooth val="0"/>
        </ser>
        <axId val="10"/>
        <axId val="100"/>
      </lineChart>
      <catAx>
        <axId val="10"/>
        <scaling>
          <orientation val="minMax"/>
        </scaling>
        <delete val="0"/>
        <axPos val="l"/>
        <majorTickMark val="out"/>
        <minorTickMark val="none"/>
        <crossAx val="100"/>
        <lblOffset val="100"/>
        <tickLblSkip val="4"/>
        <tickMarkSkip val="4"/>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Аж үйлдвэрийн салбарын бүтээгдэхүүний борлуулалт — хувь нэмэр, 2026-07</a:t>
            </a:r>
          </a:p>
        </rich>
      </tx>
    </title>
    <plotArea>
      <barChart>
        <barDir val="col"/>
        <grouping val="stacked"/>
        <ser>
          <idx val="0"/>
          <order val="0"/>
          <tx>
            <strRef>
              <f>'Sector_Charts'!B305</f>
            </strRef>
          </tx>
          <spPr>
            <a:solidFill xmlns:a="http://schemas.openxmlformats.org/drawingml/2006/main">
              <a:srgbClr val="7030A0"/>
            </a:solidFill>
            <a:ln xmlns:a="http://schemas.openxmlformats.org/drawingml/2006/main">
              <a:noFill/>
              <a:prstDash val="solid"/>
            </a:ln>
          </spPr>
          <cat>
            <numRef>
              <f>'Sector_Charts'!$A$306:$A$341</f>
            </numRef>
          </cat>
          <val>
            <numRef>
              <f>'Sector_Charts'!$B$306:$B$341</f>
            </numRef>
          </val>
        </ser>
        <ser>
          <idx val="1"/>
          <order val="1"/>
          <tx>
            <strRef>
              <f>'Sector_Charts'!C305</f>
            </strRef>
          </tx>
          <spPr>
            <a:solidFill xmlns:a="http://schemas.openxmlformats.org/drawingml/2006/main">
              <a:srgbClr val="A5A5A5"/>
            </a:solidFill>
            <a:ln xmlns:a="http://schemas.openxmlformats.org/drawingml/2006/main">
              <a:noFill/>
              <a:prstDash val="solid"/>
            </a:ln>
          </spPr>
          <cat>
            <numRef>
              <f>'Sector_Charts'!$A$306:$A$341</f>
            </numRef>
          </cat>
          <val>
            <numRef>
              <f>'Sector_Charts'!$C$306:$C$341</f>
            </numRef>
          </val>
        </ser>
        <ser>
          <idx val="2"/>
          <order val="2"/>
          <tx>
            <strRef>
              <f>'Sector_Charts'!D305</f>
            </strRef>
          </tx>
          <spPr>
            <a:solidFill xmlns:a="http://schemas.openxmlformats.org/drawingml/2006/main">
              <a:srgbClr val="FFC000"/>
            </a:solidFill>
            <a:ln xmlns:a="http://schemas.openxmlformats.org/drawingml/2006/main">
              <a:noFill/>
              <a:prstDash val="solid"/>
            </a:ln>
          </spPr>
          <cat>
            <numRef>
              <f>'Sector_Charts'!$A$306:$A$341</f>
            </numRef>
          </cat>
          <val>
            <numRef>
              <f>'Sector_Charts'!$D$306:$D$341</f>
            </numRef>
          </val>
        </ser>
        <ser>
          <idx val="3"/>
          <order val="3"/>
          <tx>
            <strRef>
              <f>'Sector_Charts'!E305</f>
            </strRef>
          </tx>
          <spPr>
            <a:solidFill xmlns:a="http://schemas.openxmlformats.org/drawingml/2006/main">
              <a:srgbClr val="5B9BD5"/>
            </a:solidFill>
            <a:ln xmlns:a="http://schemas.openxmlformats.org/drawingml/2006/main">
              <a:noFill/>
              <a:prstDash val="solid"/>
            </a:ln>
          </spPr>
          <cat>
            <numRef>
              <f>'Sector_Charts'!$A$306:$A$341</f>
            </numRef>
          </cat>
          <val>
            <numRef>
              <f>'Sector_Charts'!$E$306:$E$341</f>
            </numRef>
          </val>
        </ser>
        <gapWidth val="0"/>
        <overlap val="100"/>
        <axId val="10"/>
        <axId val="100"/>
      </barChart>
      <lineChart>
        <grouping val="standard"/>
        <ser>
          <idx val="4"/>
          <order val="4"/>
          <tx>
            <strRef>
              <f>'Sector_Charts'!F305</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'Sector_Charts'!$A$306:$A$341</f>
            </numRef>
          </cat>
          <val>
            <numRef>
              <f>'Sector_Charts'!$F$306:$F$341</f>
            </numRef>
          </val>
          <smooth val="0"/>
        </ser>
        <axId val="10"/>
        <axId val="100"/>
      </lineChart>
      <catAx>
        <axId val="10"/>
        <scaling>
          <orientation val="minMax"/>
        </scaling>
        <delete val="0"/>
        <axPos val="l"/>
        <majorTickMark val="out"/>
        <minorTickMark val="none"/>
        <crossAx val="100"/>
        <lblOffset val="100"/>
        <tickLblSkip val="6"/>
        <tickMarkSkip val="6"/>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Уул уурхайн дэд салбарууд (Mining sub-sectors) — аж үйлдвэрийн өсөлтөд оруулсан хувь нэмэр, 2026-07</a:t>
            </a:r>
          </a:p>
        </rich>
      </tx>
    </title>
    <plotArea>
      <barChart>
        <barDir val="col"/>
        <grouping val="stacked"/>
        <ser>
          <idx val="0"/>
          <order val="0"/>
          <tx>
            <strRef>
              <f>'Sector_Charts'!B346</f>
            </strRef>
          </tx>
          <spPr>
            <a:solidFill xmlns:a="http://schemas.openxmlformats.org/drawingml/2006/main">
              <a:srgbClr val="7030A0"/>
            </a:solidFill>
            <a:ln xmlns:a="http://schemas.openxmlformats.org/drawingml/2006/main">
              <a:noFill/>
              <a:prstDash val="solid"/>
            </a:ln>
          </spPr>
          <cat>
            <numRef>
              <f>'Sector_Charts'!$A$347:$A$382</f>
            </numRef>
          </cat>
          <val>
            <numRef>
              <f>'Sector_Charts'!$B$347:$B$382</f>
            </numRef>
          </val>
        </ser>
        <ser>
          <idx val="1"/>
          <order val="1"/>
          <tx>
            <strRef>
              <f>'Sector_Charts'!C346</f>
            </strRef>
          </tx>
          <spPr>
            <a:solidFill xmlns:a="http://schemas.openxmlformats.org/drawingml/2006/main">
              <a:srgbClr val="A5A5A5"/>
            </a:solidFill>
            <a:ln xmlns:a="http://schemas.openxmlformats.org/drawingml/2006/main">
              <a:noFill/>
              <a:prstDash val="solid"/>
            </a:ln>
          </spPr>
          <cat>
            <numRef>
              <f>'Sector_Charts'!$A$347:$A$382</f>
            </numRef>
          </cat>
          <val>
            <numRef>
              <f>'Sector_Charts'!$C$347:$C$382</f>
            </numRef>
          </val>
        </ser>
        <ser>
          <idx val="2"/>
          <order val="2"/>
          <tx>
            <strRef>
              <f>'Sector_Charts'!D346</f>
            </strRef>
          </tx>
          <spPr>
            <a:solidFill xmlns:a="http://schemas.openxmlformats.org/drawingml/2006/main">
              <a:srgbClr val="FFC000"/>
            </a:solidFill>
            <a:ln xmlns:a="http://schemas.openxmlformats.org/drawingml/2006/main">
              <a:noFill/>
              <a:prstDash val="solid"/>
            </a:ln>
          </spPr>
          <cat>
            <numRef>
              <f>'Sector_Charts'!$A$347:$A$382</f>
            </numRef>
          </cat>
          <val>
            <numRef>
              <f>'Sector_Charts'!$D$347:$D$382</f>
            </numRef>
          </val>
        </ser>
        <ser>
          <idx val="3"/>
          <order val="3"/>
          <tx>
            <strRef>
              <f>'Sector_Charts'!E346</f>
            </strRef>
          </tx>
          <spPr>
            <a:solidFill xmlns:a="http://schemas.openxmlformats.org/drawingml/2006/main">
              <a:srgbClr val="5B9BD5"/>
            </a:solidFill>
            <a:ln xmlns:a="http://schemas.openxmlformats.org/drawingml/2006/main">
              <a:noFill/>
              <a:prstDash val="solid"/>
            </a:ln>
          </spPr>
          <cat>
            <numRef>
              <f>'Sector_Charts'!$A$347:$A$382</f>
            </numRef>
          </cat>
          <val>
            <numRef>
              <f>'Sector_Charts'!$E$347:$E$382</f>
            </numRef>
          </val>
        </ser>
        <ser>
          <idx val="4"/>
          <order val="4"/>
          <tx>
            <strRef>
              <f>'Sector_Charts'!F346</f>
            </strRef>
          </tx>
          <spPr>
            <a:solidFill xmlns:a="http://schemas.openxmlformats.org/drawingml/2006/main">
              <a:srgbClr val="70AD47"/>
            </a:solidFill>
            <a:ln xmlns:a="http://schemas.openxmlformats.org/drawingml/2006/main">
              <a:noFill/>
              <a:prstDash val="solid"/>
            </a:ln>
          </spPr>
          <cat>
            <numRef>
              <f>'Sector_Charts'!$A$347:$A$382</f>
            </numRef>
          </cat>
          <val>
            <numRef>
              <f>'Sector_Charts'!$F$347:$F$382</f>
            </numRef>
          </val>
        </ser>
        <gapWidth val="0"/>
        <overlap val="100"/>
        <axId val="10"/>
        <axId val="100"/>
      </barChart>
      <lineChart>
        <grouping val="standard"/>
        <ser>
          <idx val="5"/>
          <order val="5"/>
          <tx>
            <strRef>
              <f>'Sector_Charts'!G346</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'Sector_Charts'!$A$347:$A$382</f>
            </numRef>
          </cat>
          <val>
            <numRef>
              <f>'Sector_Charts'!$G$347:$G$382</f>
            </numRef>
          </val>
          <smooth val="0"/>
        </ser>
        <axId val="10"/>
        <axId val="100"/>
      </lineChart>
      <catAx>
        <axId val="10"/>
        <scaling>
          <orientation val="minMax"/>
        </scaling>
        <delete val="0"/>
        <axPos val="l"/>
        <majorTickMark val="out"/>
        <minorTickMark val="none"/>
        <crossAx val="100"/>
        <lblOffset val="100"/>
        <tickLblSkip val="6"/>
        <tickMarkSkip val="6"/>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Хүнсний үйлдвэрлэл (Food processing) — аж үйлдвэрийн өсөлтөд оруулсан хувь нэмэр, 2026-07</a:t>
            </a:r>
          </a:p>
        </rich>
      </tx>
    </title>
    <plotArea>
      <barChart>
        <barDir val="col"/>
        <grouping val="stacked"/>
        <ser>
          <idx val="0"/>
          <order val="0"/>
          <tx>
            <strRef>
              <f>'Sector_Charts'!B405</f>
            </strRef>
          </tx>
          <spPr>
            <a:solidFill xmlns:a="http://schemas.openxmlformats.org/drawingml/2006/main">
              <a:srgbClr val="7030A0"/>
            </a:solidFill>
            <a:ln xmlns:a="http://schemas.openxmlformats.org/drawingml/2006/main">
              <a:noFill/>
              <a:prstDash val="solid"/>
            </a:ln>
          </spPr>
          <cat>
            <numRef>
              <f>'Sector_Charts'!$A$406:$A$441</f>
            </numRef>
          </cat>
          <val>
            <numRef>
              <f>'Sector_Charts'!$B$406:$B$441</f>
            </numRef>
          </val>
        </ser>
        <ser>
          <idx val="1"/>
          <order val="1"/>
          <tx>
            <strRef>
              <f>'Sector_Charts'!C405</f>
            </strRef>
          </tx>
          <spPr>
            <a:solidFill xmlns:a="http://schemas.openxmlformats.org/drawingml/2006/main">
              <a:srgbClr val="A5A5A5"/>
            </a:solidFill>
            <a:ln xmlns:a="http://schemas.openxmlformats.org/drawingml/2006/main">
              <a:noFill/>
              <a:prstDash val="solid"/>
            </a:ln>
          </spPr>
          <cat>
            <numRef>
              <f>'Sector_Charts'!$A$406:$A$441</f>
            </numRef>
          </cat>
          <val>
            <numRef>
              <f>'Sector_Charts'!$C$406:$C$441</f>
            </numRef>
          </val>
        </ser>
        <ser>
          <idx val="2"/>
          <order val="2"/>
          <tx>
            <strRef>
              <f>'Sector_Charts'!D405</f>
            </strRef>
          </tx>
          <spPr>
            <a:solidFill xmlns:a="http://schemas.openxmlformats.org/drawingml/2006/main">
              <a:srgbClr val="FFC000"/>
            </a:solidFill>
            <a:ln xmlns:a="http://schemas.openxmlformats.org/drawingml/2006/main">
              <a:noFill/>
              <a:prstDash val="solid"/>
            </a:ln>
          </spPr>
          <cat>
            <numRef>
              <f>'Sector_Charts'!$A$406:$A$441</f>
            </numRef>
          </cat>
          <val>
            <numRef>
              <f>'Sector_Charts'!$D$406:$D$441</f>
            </numRef>
          </val>
        </ser>
        <ser>
          <idx val="3"/>
          <order val="3"/>
          <tx>
            <strRef>
              <f>'Sector_Charts'!E405</f>
            </strRef>
          </tx>
          <spPr>
            <a:solidFill xmlns:a="http://schemas.openxmlformats.org/drawingml/2006/main">
              <a:srgbClr val="5B9BD5"/>
            </a:solidFill>
            <a:ln xmlns:a="http://schemas.openxmlformats.org/drawingml/2006/main">
              <a:noFill/>
              <a:prstDash val="solid"/>
            </a:ln>
          </spPr>
          <cat>
            <numRef>
              <f>'Sector_Charts'!$A$406:$A$441</f>
            </numRef>
          </cat>
          <val>
            <numRef>
              <f>'Sector_Charts'!$E$406:$E$441</f>
            </numRef>
          </val>
        </ser>
        <ser>
          <idx val="4"/>
          <order val="4"/>
          <tx>
            <strRef>
              <f>'Sector_Charts'!F405</f>
            </strRef>
          </tx>
          <spPr>
            <a:solidFill xmlns:a="http://schemas.openxmlformats.org/drawingml/2006/main">
              <a:srgbClr val="70AD47"/>
            </a:solidFill>
            <a:ln xmlns:a="http://schemas.openxmlformats.org/drawingml/2006/main">
              <a:noFill/>
              <a:prstDash val="solid"/>
            </a:ln>
          </spPr>
          <cat>
            <numRef>
              <f>'Sector_Charts'!$A$406:$A$441</f>
            </numRef>
          </cat>
          <val>
            <numRef>
              <f>'Sector_Charts'!$F$406:$F$441</f>
            </numRef>
          </val>
        </ser>
        <gapWidth val="0"/>
        <overlap val="100"/>
        <axId val="10"/>
        <axId val="100"/>
      </barChart>
      <lineChart>
        <grouping val="standard"/>
        <ser>
          <idx val="5"/>
          <order val="5"/>
          <tx>
            <strRef>
              <f>'Sector_Charts'!G405</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'Sector_Charts'!$A$406:$A$441</f>
            </numRef>
          </cat>
          <val>
            <numRef>
              <f>'Sector_Charts'!$G$406:$G$441</f>
            </numRef>
          </val>
          <smooth val="0"/>
        </ser>
        <axId val="10"/>
        <axId val="100"/>
      </lineChart>
      <catAx>
        <axId val="10"/>
        <scaling>
          <orientation val="minMax"/>
        </scaling>
        <delete val="0"/>
        <axPos val="l"/>
        <majorTickMark val="out"/>
        <minorTickMark val="none"/>
        <crossAx val="100"/>
        <lblOffset val="100"/>
        <tickLblSkip val="6"/>
        <tickMarkSkip val="6"/>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Хөнгөн үйлдвэр (Light manufacturing) — аж үйлдвэрийн өсөлтөд оруулсан хувь нэмэр, 2026-07</a:t>
            </a:r>
          </a:p>
        </rich>
      </tx>
    </title>
    <plotArea>
      <barChart>
        <barDir val="col"/>
        <grouping val="stacked"/>
        <ser>
          <idx val="0"/>
          <order val="0"/>
          <tx>
            <strRef>
              <f>'Sector_Charts'!B464</f>
            </strRef>
          </tx>
          <spPr>
            <a:solidFill xmlns:a="http://schemas.openxmlformats.org/drawingml/2006/main">
              <a:srgbClr val="7030A0"/>
            </a:solidFill>
            <a:ln xmlns:a="http://schemas.openxmlformats.org/drawingml/2006/main">
              <a:noFill/>
              <a:prstDash val="solid"/>
            </a:ln>
          </spPr>
          <cat>
            <numRef>
              <f>'Sector_Charts'!$A$465:$A$500</f>
            </numRef>
          </cat>
          <val>
            <numRef>
              <f>'Sector_Charts'!$B$465:$B$500</f>
            </numRef>
          </val>
        </ser>
        <ser>
          <idx val="1"/>
          <order val="1"/>
          <tx>
            <strRef>
              <f>'Sector_Charts'!C464</f>
            </strRef>
          </tx>
          <spPr>
            <a:solidFill xmlns:a="http://schemas.openxmlformats.org/drawingml/2006/main">
              <a:srgbClr val="A5A5A5"/>
            </a:solidFill>
            <a:ln xmlns:a="http://schemas.openxmlformats.org/drawingml/2006/main">
              <a:noFill/>
              <a:prstDash val="solid"/>
            </a:ln>
          </spPr>
          <cat>
            <numRef>
              <f>'Sector_Charts'!$A$465:$A$500</f>
            </numRef>
          </cat>
          <val>
            <numRef>
              <f>'Sector_Charts'!$C$465:$C$500</f>
            </numRef>
          </val>
        </ser>
        <ser>
          <idx val="2"/>
          <order val="2"/>
          <tx>
            <strRef>
              <f>'Sector_Charts'!D464</f>
            </strRef>
          </tx>
          <spPr>
            <a:solidFill xmlns:a="http://schemas.openxmlformats.org/drawingml/2006/main">
              <a:srgbClr val="FFC000"/>
            </a:solidFill>
            <a:ln xmlns:a="http://schemas.openxmlformats.org/drawingml/2006/main">
              <a:noFill/>
              <a:prstDash val="solid"/>
            </a:ln>
          </spPr>
          <cat>
            <numRef>
              <f>'Sector_Charts'!$A$465:$A$500</f>
            </numRef>
          </cat>
          <val>
            <numRef>
              <f>'Sector_Charts'!$D$465:$D$500</f>
            </numRef>
          </val>
        </ser>
        <ser>
          <idx val="3"/>
          <order val="3"/>
          <tx>
            <strRef>
              <f>'Sector_Charts'!E464</f>
            </strRef>
          </tx>
          <spPr>
            <a:solidFill xmlns:a="http://schemas.openxmlformats.org/drawingml/2006/main">
              <a:srgbClr val="5B9BD5"/>
            </a:solidFill>
            <a:ln xmlns:a="http://schemas.openxmlformats.org/drawingml/2006/main">
              <a:noFill/>
              <a:prstDash val="solid"/>
            </a:ln>
          </spPr>
          <cat>
            <numRef>
              <f>'Sector_Charts'!$A$465:$A$500</f>
            </numRef>
          </cat>
          <val>
            <numRef>
              <f>'Sector_Charts'!$E$465:$E$500</f>
            </numRef>
          </val>
        </ser>
        <ser>
          <idx val="4"/>
          <order val="4"/>
          <tx>
            <strRef>
              <f>'Sector_Charts'!F464</f>
            </strRef>
          </tx>
          <spPr>
            <a:solidFill xmlns:a="http://schemas.openxmlformats.org/drawingml/2006/main">
              <a:srgbClr val="70AD47"/>
            </a:solidFill>
            <a:ln xmlns:a="http://schemas.openxmlformats.org/drawingml/2006/main">
              <a:noFill/>
              <a:prstDash val="solid"/>
            </a:ln>
          </spPr>
          <cat>
            <numRef>
              <f>'Sector_Charts'!$A$465:$A$500</f>
            </numRef>
          </cat>
          <val>
            <numRef>
              <f>'Sector_Charts'!$F$465:$F$500</f>
            </numRef>
          </val>
        </ser>
        <ser>
          <idx val="5"/>
          <order val="5"/>
          <tx>
            <strRef>
              <f>'Sector_Charts'!G464</f>
            </strRef>
          </tx>
          <spPr>
            <a:solidFill xmlns:a="http://schemas.openxmlformats.org/drawingml/2006/main">
              <a:srgbClr val="4472C4"/>
            </a:solidFill>
            <a:ln xmlns:a="http://schemas.openxmlformats.org/drawingml/2006/main">
              <a:noFill/>
              <a:prstDash val="solid"/>
            </a:ln>
          </spPr>
          <cat>
            <numRef>
              <f>'Sector_Charts'!$A$465:$A$500</f>
            </numRef>
          </cat>
          <val>
            <numRef>
              <f>'Sector_Charts'!$G$465:$G$500</f>
            </numRef>
          </val>
        </ser>
        <ser>
          <idx val="6"/>
          <order val="6"/>
          <tx>
            <strRef>
              <f>'Sector_Charts'!H464</f>
            </strRef>
          </tx>
          <spPr>
            <a:solidFill xmlns:a="http://schemas.openxmlformats.org/drawingml/2006/main">
              <a:srgbClr val="ED7D31"/>
            </a:solidFill>
            <a:ln xmlns:a="http://schemas.openxmlformats.org/drawingml/2006/main">
              <a:noFill/>
              <a:prstDash val="solid"/>
            </a:ln>
          </spPr>
          <cat>
            <numRef>
              <f>'Sector_Charts'!$A$465:$A$500</f>
            </numRef>
          </cat>
          <val>
            <numRef>
              <f>'Sector_Charts'!$H$465:$H$500</f>
            </numRef>
          </val>
        </ser>
        <ser>
          <idx val="7"/>
          <order val="7"/>
          <tx>
            <strRef>
              <f>'Sector_Charts'!I464</f>
            </strRef>
          </tx>
          <spPr>
            <a:solidFill xmlns:a="http://schemas.openxmlformats.org/drawingml/2006/main">
              <a:srgbClr val="264478"/>
            </a:solidFill>
            <a:ln xmlns:a="http://schemas.openxmlformats.org/drawingml/2006/main">
              <a:noFill/>
              <a:prstDash val="solid"/>
            </a:ln>
          </spPr>
          <cat>
            <numRef>
              <f>'Sector_Charts'!$A$465:$A$500</f>
            </numRef>
          </cat>
          <val>
            <numRef>
              <f>'Sector_Charts'!$I$465:$I$500</f>
            </numRef>
          </val>
        </ser>
        <gapWidth val="0"/>
        <overlap val="100"/>
        <axId val="10"/>
        <axId val="100"/>
      </barChart>
      <lineChart>
        <grouping val="standard"/>
        <ser>
          <idx val="8"/>
          <order val="8"/>
          <tx>
            <strRef>
              <f>'Sector_Charts'!J464</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'Sector_Charts'!$A$465:$A$500</f>
            </numRef>
          </cat>
          <val>
            <numRef>
              <f>'Sector_Charts'!$J$465:$J$500</f>
            </numRef>
          </val>
          <smooth val="0"/>
        </ser>
        <axId val="10"/>
        <axId val="100"/>
      </lineChart>
      <catAx>
        <axId val="10"/>
        <scaling>
          <orientation val="minMax"/>
        </scaling>
        <delete val="0"/>
        <axPos val="l"/>
        <majorTickMark val="out"/>
        <minorTickMark val="none"/>
        <crossAx val="100"/>
        <lblOffset val="100"/>
        <tickLblSkip val="6"/>
        <tickMarkSkip val="6"/>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Хими, металл (Chemicals and metals) — аж үйлдвэрийн өсөлтөд оруулсан хувь нэмэр, 2026-07</a:t>
            </a:r>
          </a:p>
        </rich>
      </tx>
    </title>
    <plotArea>
      <barChart>
        <barDir val="col"/>
        <grouping val="stacked"/>
        <ser>
          <idx val="0"/>
          <order val="0"/>
          <tx>
            <strRef>
              <f>'Sector_Charts'!B523</f>
            </strRef>
          </tx>
          <spPr>
            <a:solidFill xmlns:a="http://schemas.openxmlformats.org/drawingml/2006/main">
              <a:srgbClr val="7030A0"/>
            </a:solidFill>
            <a:ln xmlns:a="http://schemas.openxmlformats.org/drawingml/2006/main">
              <a:noFill/>
              <a:prstDash val="solid"/>
            </a:ln>
          </spPr>
          <cat>
            <numRef>
              <f>'Sector_Charts'!$A$524:$A$559</f>
            </numRef>
          </cat>
          <val>
            <numRef>
              <f>'Sector_Charts'!$B$524:$B$559</f>
            </numRef>
          </val>
        </ser>
        <ser>
          <idx val="1"/>
          <order val="1"/>
          <tx>
            <strRef>
              <f>'Sector_Charts'!C523</f>
            </strRef>
          </tx>
          <spPr>
            <a:solidFill xmlns:a="http://schemas.openxmlformats.org/drawingml/2006/main">
              <a:srgbClr val="A5A5A5"/>
            </a:solidFill>
            <a:ln xmlns:a="http://schemas.openxmlformats.org/drawingml/2006/main">
              <a:noFill/>
              <a:prstDash val="solid"/>
            </a:ln>
          </spPr>
          <cat>
            <numRef>
              <f>'Sector_Charts'!$A$524:$A$559</f>
            </numRef>
          </cat>
          <val>
            <numRef>
              <f>'Sector_Charts'!$C$524:$C$559</f>
            </numRef>
          </val>
        </ser>
        <ser>
          <idx val="2"/>
          <order val="2"/>
          <tx>
            <strRef>
              <f>'Sector_Charts'!D523</f>
            </strRef>
          </tx>
          <spPr>
            <a:solidFill xmlns:a="http://schemas.openxmlformats.org/drawingml/2006/main">
              <a:srgbClr val="FFC000"/>
            </a:solidFill>
            <a:ln xmlns:a="http://schemas.openxmlformats.org/drawingml/2006/main">
              <a:noFill/>
              <a:prstDash val="solid"/>
            </a:ln>
          </spPr>
          <cat>
            <numRef>
              <f>'Sector_Charts'!$A$524:$A$559</f>
            </numRef>
          </cat>
          <val>
            <numRef>
              <f>'Sector_Charts'!$D$524:$D$559</f>
            </numRef>
          </val>
        </ser>
        <ser>
          <idx val="3"/>
          <order val="3"/>
          <tx>
            <strRef>
              <f>'Sector_Charts'!E523</f>
            </strRef>
          </tx>
          <spPr>
            <a:solidFill xmlns:a="http://schemas.openxmlformats.org/drawingml/2006/main">
              <a:srgbClr val="5B9BD5"/>
            </a:solidFill>
            <a:ln xmlns:a="http://schemas.openxmlformats.org/drawingml/2006/main">
              <a:noFill/>
              <a:prstDash val="solid"/>
            </a:ln>
          </spPr>
          <cat>
            <numRef>
              <f>'Sector_Charts'!$A$524:$A$559</f>
            </numRef>
          </cat>
          <val>
            <numRef>
              <f>'Sector_Charts'!$E$524:$E$559</f>
            </numRef>
          </val>
        </ser>
        <ser>
          <idx val="4"/>
          <order val="4"/>
          <tx>
            <strRef>
              <f>'Sector_Charts'!F523</f>
            </strRef>
          </tx>
          <spPr>
            <a:solidFill xmlns:a="http://schemas.openxmlformats.org/drawingml/2006/main">
              <a:srgbClr val="70AD47"/>
            </a:solidFill>
            <a:ln xmlns:a="http://schemas.openxmlformats.org/drawingml/2006/main">
              <a:noFill/>
              <a:prstDash val="solid"/>
            </a:ln>
          </spPr>
          <cat>
            <numRef>
              <f>'Sector_Charts'!$A$524:$A$559</f>
            </numRef>
          </cat>
          <val>
            <numRef>
              <f>'Sector_Charts'!$F$524:$F$559</f>
            </numRef>
          </val>
        </ser>
        <ser>
          <idx val="5"/>
          <order val="5"/>
          <tx>
            <strRef>
              <f>'Sector_Charts'!G523</f>
            </strRef>
          </tx>
          <spPr>
            <a:solidFill xmlns:a="http://schemas.openxmlformats.org/drawingml/2006/main">
              <a:srgbClr val="4472C4"/>
            </a:solidFill>
            <a:ln xmlns:a="http://schemas.openxmlformats.org/drawingml/2006/main">
              <a:noFill/>
              <a:prstDash val="solid"/>
            </a:ln>
          </spPr>
          <cat>
            <numRef>
              <f>'Sector_Charts'!$A$524:$A$559</f>
            </numRef>
          </cat>
          <val>
            <numRef>
              <f>'Sector_Charts'!$G$524:$G$559</f>
            </numRef>
          </val>
        </ser>
        <ser>
          <idx val="6"/>
          <order val="6"/>
          <tx>
            <strRef>
              <f>'Sector_Charts'!H523</f>
            </strRef>
          </tx>
          <spPr>
            <a:solidFill xmlns:a="http://schemas.openxmlformats.org/drawingml/2006/main">
              <a:srgbClr val="ED7D31"/>
            </a:solidFill>
            <a:ln xmlns:a="http://schemas.openxmlformats.org/drawingml/2006/main">
              <a:noFill/>
              <a:prstDash val="solid"/>
            </a:ln>
          </spPr>
          <cat>
            <numRef>
              <f>'Sector_Charts'!$A$524:$A$559</f>
            </numRef>
          </cat>
          <val>
            <numRef>
              <f>'Sector_Charts'!$H$524:$H$559</f>
            </numRef>
          </val>
        </ser>
        <ser>
          <idx val="7"/>
          <order val="7"/>
          <tx>
            <strRef>
              <f>'Sector_Charts'!I523</f>
            </strRef>
          </tx>
          <spPr>
            <a:solidFill xmlns:a="http://schemas.openxmlformats.org/drawingml/2006/main">
              <a:srgbClr val="264478"/>
            </a:solidFill>
            <a:ln xmlns:a="http://schemas.openxmlformats.org/drawingml/2006/main">
              <a:noFill/>
              <a:prstDash val="solid"/>
            </a:ln>
          </spPr>
          <cat>
            <numRef>
              <f>'Sector_Charts'!$A$524:$A$559</f>
            </numRef>
          </cat>
          <val>
            <numRef>
              <f>'Sector_Charts'!$I$524:$I$559</f>
            </numRef>
          </val>
        </ser>
        <ser>
          <idx val="8"/>
          <order val="8"/>
          <tx>
            <strRef>
              <f>'Sector_Charts'!J523</f>
            </strRef>
          </tx>
          <spPr>
            <a:solidFill xmlns:a="http://schemas.openxmlformats.org/drawingml/2006/main">
              <a:srgbClr val="9E480E"/>
            </a:solidFill>
            <a:ln xmlns:a="http://schemas.openxmlformats.org/drawingml/2006/main">
              <a:noFill/>
              <a:prstDash val="solid"/>
            </a:ln>
          </spPr>
          <cat>
            <numRef>
              <f>'Sector_Charts'!$A$524:$A$559</f>
            </numRef>
          </cat>
          <val>
            <numRef>
              <f>'Sector_Charts'!$J$524:$J$559</f>
            </numRef>
          </val>
        </ser>
        <gapWidth val="0"/>
        <overlap val="100"/>
        <axId val="10"/>
        <axId val="100"/>
      </barChart>
      <lineChart>
        <grouping val="standard"/>
        <ser>
          <idx val="9"/>
          <order val="9"/>
          <tx>
            <strRef>
              <f>'Sector_Charts'!K523</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'Sector_Charts'!$A$524:$A$559</f>
            </numRef>
          </cat>
          <val>
            <numRef>
              <f>'Sector_Charts'!$K$524:$K$559</f>
            </numRef>
          </val>
          <smooth val="0"/>
        </ser>
        <axId val="10"/>
        <axId val="100"/>
      </lineChart>
      <catAx>
        <axId val="10"/>
        <scaling>
          <orientation val="minMax"/>
        </scaling>
        <delete val="0"/>
        <axPos val="l"/>
        <majorTickMark val="out"/>
        <minorTickMark val="none"/>
        <crossAx val="100"/>
        <lblOffset val="100"/>
        <tickLblSkip val="6"/>
        <tickMarkSkip val="6"/>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Тээврийн салбарын нийт орлого — хувь нэмэр, 2026-Q2</a:t>
            </a:r>
          </a:p>
        </rich>
      </tx>
    </title>
    <plotArea>
      <barChart>
        <barDir val="col"/>
        <grouping val="stacked"/>
        <ser>
          <idx val="0"/>
          <order val="0"/>
          <tx>
            <strRef>
              <f>'Sector_Charts'!B604</f>
            </strRef>
          </tx>
          <spPr>
            <a:solidFill xmlns:a="http://schemas.openxmlformats.org/drawingml/2006/main">
              <a:srgbClr val="7030A0"/>
            </a:solidFill>
            <a:ln xmlns:a="http://schemas.openxmlformats.org/drawingml/2006/main">
              <a:noFill/>
              <a:prstDash val="solid"/>
            </a:ln>
          </spPr>
          <cat>
            <numRef>
              <f>'Sector_Charts'!$A$605:$A$620</f>
            </numRef>
          </cat>
          <val>
            <numRef>
              <f>'Sector_Charts'!$B$605:$B$620</f>
            </numRef>
          </val>
        </ser>
        <ser>
          <idx val="1"/>
          <order val="1"/>
          <tx>
            <strRef>
              <f>'Sector_Charts'!C604</f>
            </strRef>
          </tx>
          <spPr>
            <a:solidFill xmlns:a="http://schemas.openxmlformats.org/drawingml/2006/main">
              <a:srgbClr val="A5A5A5"/>
            </a:solidFill>
            <a:ln xmlns:a="http://schemas.openxmlformats.org/drawingml/2006/main">
              <a:noFill/>
              <a:prstDash val="solid"/>
            </a:ln>
          </spPr>
          <cat>
            <numRef>
              <f>'Sector_Charts'!$A$605:$A$620</f>
            </numRef>
          </cat>
          <val>
            <numRef>
              <f>'Sector_Charts'!$C$605:$C$620</f>
            </numRef>
          </val>
        </ser>
        <ser>
          <idx val="2"/>
          <order val="2"/>
          <tx>
            <strRef>
              <f>'Sector_Charts'!D604</f>
            </strRef>
          </tx>
          <spPr>
            <a:solidFill xmlns:a="http://schemas.openxmlformats.org/drawingml/2006/main">
              <a:srgbClr val="FFC000"/>
            </a:solidFill>
            <a:ln xmlns:a="http://schemas.openxmlformats.org/drawingml/2006/main">
              <a:noFill/>
              <a:prstDash val="solid"/>
            </a:ln>
          </spPr>
          <cat>
            <numRef>
              <f>'Sector_Charts'!$A$605:$A$620</f>
            </numRef>
          </cat>
          <val>
            <numRef>
              <f>'Sector_Charts'!$D$605:$D$620</f>
            </numRef>
          </val>
        </ser>
        <ser>
          <idx val="3"/>
          <order val="3"/>
          <tx>
            <strRef>
              <f>'Sector_Charts'!E604</f>
            </strRef>
          </tx>
          <spPr>
            <a:solidFill xmlns:a="http://schemas.openxmlformats.org/drawingml/2006/main">
              <a:srgbClr val="5B9BD5"/>
            </a:solidFill>
            <a:ln xmlns:a="http://schemas.openxmlformats.org/drawingml/2006/main">
              <a:noFill/>
              <a:prstDash val="solid"/>
            </a:ln>
          </spPr>
          <cat>
            <numRef>
              <f>'Sector_Charts'!$A$605:$A$620</f>
            </numRef>
          </cat>
          <val>
            <numRef>
              <f>'Sector_Charts'!$E$605:$E$620</f>
            </numRef>
          </val>
        </ser>
        <ser>
          <idx val="4"/>
          <order val="4"/>
          <tx>
            <strRef>
              <f>'Sector_Charts'!F604</f>
            </strRef>
          </tx>
          <spPr>
            <a:solidFill xmlns:a="http://schemas.openxmlformats.org/drawingml/2006/main">
              <a:srgbClr val="70AD47"/>
            </a:solidFill>
            <a:ln xmlns:a="http://schemas.openxmlformats.org/drawingml/2006/main">
              <a:noFill/>
              <a:prstDash val="solid"/>
            </a:ln>
          </spPr>
          <cat>
            <numRef>
              <f>'Sector_Charts'!$A$605:$A$620</f>
            </numRef>
          </cat>
          <val>
            <numRef>
              <f>'Sector_Charts'!$F$605:$F$620</f>
            </numRef>
          </val>
        </ser>
        <gapWidth val="0"/>
        <overlap val="100"/>
        <axId val="10"/>
        <axId val="100"/>
      </barChart>
      <lineChart>
        <grouping val="standard"/>
        <ser>
          <idx val="5"/>
          <order val="5"/>
          <tx>
            <strRef>
              <f>'Sector_Charts'!G604</f>
            </strRef>
          </tx>
          <spPr>
            <a:ln xmlns:a="http://schemas.openxmlformats.org/drawingml/2006/main" w="22000">
              <a:solidFill>
                <a:srgbClr val="000000"/>
              </a:solidFill>
              <a:prstDash val="solid"/>
            </a:ln>
          </spPr>
          <marker>
            <symbol val="none"/>
            <spPr>
              <a:ln xmlns:a="http://schemas.openxmlformats.org/drawingml/2006/main">
                <a:prstDash val="solid"/>
              </a:ln>
            </spPr>
          </marker>
          <cat>
            <numRef>
              <f>'Sector_Charts'!$A$605:$A$620</f>
            </numRef>
          </cat>
          <val>
            <numRef>
              <f>'Sector_Charts'!$G$605:$G$620</f>
            </numRef>
          </val>
          <smooth val="0"/>
        </ser>
        <axId val="10"/>
        <axId val="100"/>
      </lineChart>
      <catAx>
        <axId val="10"/>
        <scaling>
          <orientation val="minMax"/>
        </scaling>
        <delete val="0"/>
        <axPos val="l"/>
        <majorTickMark val="out"/>
        <minorTickMark val="none"/>
        <crossAx val="100"/>
        <lblOffset val="100"/>
        <tickLblSkip val="4"/>
        <tickMarkSkip val="4"/>
      </catAx>
      <valAx>
        <axId val="100"/>
        <scaling>
          <orientation val="minMax"/>
        </scaling>
        <delete val="0"/>
        <axPos val="l"/>
        <numFmt formatCode="0.0%" sourceLinked="0"/>
        <majorTickMark val="out"/>
        <minorTickMark val="none"/>
        <crossAx val="10"/>
      </valAx>
    </plotArea>
    <legend>
      <legendPos val="b"/>
      <overlay val="0"/>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7 хоногийн үнэ, ₮ — 2026-08-17</a:t>
            </a:r>
          </a:p>
        </rich>
      </tx>
    </title>
    <plotArea>
      <lineChart>
        <grouping val="standard"/>
        <ser>
          <idx val="0"/>
          <order val="0"/>
          <tx>
            <strRef>
              <f>'Weekly_Prices'!B50</f>
            </strRef>
          </tx>
          <spPr>
            <a:ln xmlns:a="http://schemas.openxmlformats.org/drawingml/2006/main" w="20000">
              <a:solidFill>
                <a:srgbClr val="7030A0"/>
              </a:solidFill>
              <a:prstDash val="solid"/>
            </a:ln>
          </spPr>
          <marker>
            <symbol val="none"/>
            <spPr>
              <a:ln xmlns:a="http://schemas.openxmlformats.org/drawingml/2006/main">
                <a:prstDash val="solid"/>
              </a:ln>
            </spPr>
          </marker>
          <cat>
            <numRef>
              <f>'Weekly_Prices'!$A$51:$A$180</f>
            </numRef>
          </cat>
          <val>
            <numRef>
              <f>'Weekly_Prices'!$B$51:$B$180</f>
            </numRef>
          </val>
          <smooth val="0"/>
        </ser>
        <ser>
          <idx val="1"/>
          <order val="1"/>
          <tx>
            <strRef>
              <f>'Weekly_Prices'!C50</f>
            </strRef>
          </tx>
          <spPr>
            <a:ln xmlns:a="http://schemas.openxmlformats.org/drawingml/2006/main" w="20000">
              <a:solidFill>
                <a:srgbClr val="A5A5A5"/>
              </a:solidFill>
              <a:prstDash val="solid"/>
            </a:ln>
          </spPr>
          <marker>
            <symbol val="none"/>
            <spPr>
              <a:ln xmlns:a="http://schemas.openxmlformats.org/drawingml/2006/main">
                <a:prstDash val="solid"/>
              </a:ln>
            </spPr>
          </marker>
          <cat>
            <numRef>
              <f>'Weekly_Prices'!$A$51:$A$180</f>
            </numRef>
          </cat>
          <val>
            <numRef>
              <f>'Weekly_Prices'!$C$51:$C$180</f>
            </numRef>
          </val>
          <smooth val="0"/>
        </ser>
        <ser>
          <idx val="2"/>
          <order val="2"/>
          <tx>
            <strRef>
              <f>'Weekly_Prices'!D50</f>
            </strRef>
          </tx>
          <spPr>
            <a:ln xmlns:a="http://schemas.openxmlformats.org/drawingml/2006/main" w="20000">
              <a:solidFill>
                <a:srgbClr val="FFC000"/>
              </a:solidFill>
              <a:prstDash val="solid"/>
            </a:ln>
          </spPr>
          <marker>
            <symbol val="none"/>
            <spPr>
              <a:ln xmlns:a="http://schemas.openxmlformats.org/drawingml/2006/main">
                <a:prstDash val="solid"/>
              </a:ln>
            </spPr>
          </marker>
          <cat>
            <numRef>
              <f>'Weekly_Prices'!$A$51:$A$180</f>
            </numRef>
          </cat>
          <val>
            <numRef>
              <f>'Weekly_Prices'!$D$51:$D$180</f>
            </numRef>
          </val>
          <smooth val="0"/>
        </ser>
        <ser>
          <idx val="3"/>
          <order val="3"/>
          <tx>
            <strRef>
              <f>'Weekly_Prices'!E50</f>
            </strRef>
          </tx>
          <spPr>
            <a:ln xmlns:a="http://schemas.openxmlformats.org/drawingml/2006/main" w="20000">
              <a:solidFill>
                <a:srgbClr val="5B9BD5"/>
              </a:solidFill>
              <a:prstDash val="solid"/>
            </a:ln>
          </spPr>
          <marker>
            <symbol val="none"/>
            <spPr>
              <a:ln xmlns:a="http://schemas.openxmlformats.org/drawingml/2006/main">
                <a:prstDash val="solid"/>
              </a:ln>
            </spPr>
          </marker>
          <cat>
            <numRef>
              <f>'Weekly_Prices'!$A$51:$A$180</f>
            </numRef>
          </cat>
          <val>
            <numRef>
              <f>'Weekly_Prices'!$E$51:$E$180</f>
            </numRef>
          </val>
          <smooth val="0"/>
        </ser>
        <ser>
          <idx val="4"/>
          <order val="4"/>
          <tx>
            <strRef>
              <f>'Weekly_Prices'!F50</f>
            </strRef>
          </tx>
          <spPr>
            <a:ln xmlns:a="http://schemas.openxmlformats.org/drawingml/2006/main" w="20000">
              <a:solidFill>
                <a:srgbClr val="70AD47"/>
              </a:solidFill>
              <a:prstDash val="solid"/>
            </a:ln>
          </spPr>
          <marker>
            <symbol val="none"/>
            <spPr>
              <a:ln xmlns:a="http://schemas.openxmlformats.org/drawingml/2006/main">
                <a:prstDash val="solid"/>
              </a:ln>
            </spPr>
          </marker>
          <cat>
            <numRef>
              <f>'Weekly_Prices'!$A$51:$A$180</f>
            </numRef>
          </cat>
          <val>
            <numRef>
              <f>'Weekly_Prices'!$F$51:$F$180</f>
            </numRef>
          </val>
          <smooth val="0"/>
        </ser>
        <ser>
          <idx val="5"/>
          <order val="5"/>
          <tx>
            <strRef>
              <f>'Weekly_Prices'!G50</f>
            </strRef>
          </tx>
          <spPr>
            <a:ln xmlns:a="http://schemas.openxmlformats.org/drawingml/2006/main" w="20000">
              <a:solidFill>
                <a:srgbClr val="4472C4"/>
              </a:solidFill>
              <a:prstDash val="solid"/>
            </a:ln>
          </spPr>
          <marker>
            <symbol val="none"/>
            <spPr>
              <a:ln xmlns:a="http://schemas.openxmlformats.org/drawingml/2006/main">
                <a:prstDash val="solid"/>
              </a:ln>
            </spPr>
          </marker>
          <cat>
            <numRef>
              <f>'Weekly_Prices'!$A$51:$A$180</f>
            </numRef>
          </cat>
          <val>
            <numRef>
              <f>'Weekly_Prices'!$G$51:$G$180</f>
            </numRef>
          </val>
          <smooth val="0"/>
        </ser>
        <ser>
          <idx val="6"/>
          <order val="6"/>
          <tx>
            <strRef>
              <f>'Weekly_Prices'!H50</f>
            </strRef>
          </tx>
          <spPr>
            <a:ln xmlns:a="http://schemas.openxmlformats.org/drawingml/2006/main" w="20000">
              <a:solidFill>
                <a:srgbClr val="ED7D31"/>
              </a:solidFill>
              <a:prstDash val="solid"/>
            </a:ln>
          </spPr>
          <marker>
            <symbol val="none"/>
            <spPr>
              <a:ln xmlns:a="http://schemas.openxmlformats.org/drawingml/2006/main">
                <a:prstDash val="solid"/>
              </a:ln>
            </spPr>
          </marker>
          <cat>
            <numRef>
              <f>'Weekly_Prices'!$A$51:$A$180</f>
            </numRef>
          </cat>
          <val>
            <numRef>
              <f>'Weekly_Prices'!$H$51:$H$180</f>
            </numRef>
          </val>
          <smooth val="0"/>
        </ser>
        <axId val="10"/>
        <axId val="100"/>
      </lineChart>
      <catAx>
        <axId val="10"/>
        <scaling>
          <orientation val="minMax"/>
        </scaling>
        <axPos val="l"/>
        <majorTickMark val="none"/>
        <minorTickMark val="none"/>
        <crossAx val="100"/>
        <lblOffset val="100"/>
        <tickLblSkip val="13"/>
        <tickMarkSkip val="13"/>
      </catAx>
      <valAx>
        <axId val="100"/>
        <scaling>
          <orientation val="minMax"/>
        </scaling>
        <axPos val="l"/>
        <numFmt formatCode="#,##0" sourceLinked="0"/>
        <majorTickMark val="none"/>
        <minorTickMark val="none"/>
        <crossAx val="10"/>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 Type="http://schemas.openxmlformats.org/officeDocument/2006/relationships/chart" Target="/xl/charts/chart6.xml" Id="rId5"/><Relationship Type="http://schemas.openxmlformats.org/officeDocument/2006/relationships/chart" Target="/xl/charts/chart7.xml" Id="rId6"/><Relationship Type="http://schemas.openxmlformats.org/officeDocument/2006/relationships/chart" Target="/xl/charts/chart8.xml" Id="rId7"/><Relationship Type="http://schemas.openxmlformats.org/officeDocument/2006/relationships/chart" Target="/xl/charts/chart9.xml" Id="rId8"/><Relationship Type="http://schemas.openxmlformats.org/officeDocument/2006/relationships/chart" Target="/xl/charts/chart10.xml" Id="rId9"/><Relationship Type="http://schemas.openxmlformats.org/officeDocument/2006/relationships/chart" Target="/xl/charts/chart11.xml" Id="rId10"/><Relationship Type="http://schemas.openxmlformats.org/officeDocument/2006/relationships/chart" Target="/xl/charts/chart12.xml" Id="rId11"/><Relationship Type="http://schemas.openxmlformats.org/officeDocument/2006/relationships/chart" Target="/xl/charts/chart13.xml" Id="rId12"/></Relationships>
</file>

<file path=xl/drawings/_rels/drawing3.xml.rels><Relationships xmlns="http://schemas.openxmlformats.org/package/2006/relationships"><Relationship Type="http://schemas.openxmlformats.org/officeDocument/2006/relationships/chart" Target="/xl/charts/chart14.xml" Id="rId1"/></Relationships>
</file>

<file path=xl/drawings/drawing1.xml><?xml version="1.0" encoding="utf-8"?>
<wsDr xmlns="http://schemas.openxmlformats.org/drawingml/2006/spreadsheetDrawing">
  <oneCellAnchor>
    <from>
      <col>11</col>
      <colOff>0</colOff>
      <row>17</row>
      <rowOff>0</rowOff>
    </from>
    <ext cx="93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9</col>
      <colOff>0</colOff>
      <row>6</row>
      <rowOff>0</rowOff>
    </from>
    <ext cx="93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67</row>
      <rowOff>0</rowOff>
    </from>
    <ext cx="936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105</row>
      <rowOff>0</rowOff>
    </from>
    <ext cx="936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165</row>
      <rowOff>0</rowOff>
    </from>
    <ext cx="9360000" cy="34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203</row>
      <rowOff>0</rowOff>
    </from>
    <ext cx="9360000" cy="34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8</col>
      <colOff>0</colOff>
      <row>263</row>
      <rowOff>0</rowOff>
    </from>
    <ext cx="9360000" cy="34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8</col>
      <colOff>0</colOff>
      <row>304</row>
      <rowOff>0</rowOff>
    </from>
    <ext cx="9360000" cy="342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345</row>
      <rowOff>0</rowOff>
    </from>
    <ext cx="9360000" cy="34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9</col>
      <colOff>0</colOff>
      <row>404</row>
      <rowOff>0</rowOff>
    </from>
    <ext cx="9360000" cy="342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12</col>
      <colOff>0</colOff>
      <row>463</row>
      <rowOff>0</rowOff>
    </from>
    <ext cx="9360000" cy="342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13</col>
      <colOff>0</colOff>
      <row>522</row>
      <rowOff>0</rowOff>
    </from>
    <ext cx="9360000" cy="342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9</col>
      <colOff>0</colOff>
      <row>603</row>
      <rowOff>0</rowOff>
    </from>
    <ext cx="9360000" cy="342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wsDr>
</file>

<file path=xl/drawings/drawing3.xml><?xml version="1.0" encoding="utf-8"?>
<wsDr xmlns="http://schemas.openxmlformats.org/drawingml/2006/spreadsheetDrawing">
  <oneCellAnchor>
    <from>
      <col>10</col>
      <colOff>0</colOff>
      <row>49</row>
      <rowOff>0</rowOff>
    </from>
    <ext cx="93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30" customWidth="1" min="1" max="1"/>
    <col width="42" customWidth="1" min="2" max="2"/>
    <col width="22" customWidth="1" min="3" max="3"/>
    <col width="14" customWidth="1" min="4" max="4"/>
    <col width="62" customWidth="1" min="5" max="5"/>
  </cols>
  <sheetData>
    <row r="1">
      <c r="A1" s="1" t="inlineStr">
        <is>
          <t>Мэдээллийн он сар (Data vintage) — тайлант үе 2026-07</t>
        </is>
      </c>
    </row>
    <row r="2">
      <c r="A2" s="2" t="inlineStr">
        <is>
          <t>Which month each source actually carries. CURRENT = the reported month. LAGGED = the source has not published the reported month yet, so the PREVIOUS month's figure is shown and the period column says which. Nothing is ever extrapolated or carried forward silently.</t>
        </is>
      </c>
    </row>
    <row r="4">
      <c r="A4" s="3" t="inlineStr">
        <is>
          <t>Эх сурвалж (Source)</t>
        </is>
      </c>
      <c r="B4" s="3" t="inlineStr">
        <is>
          <t>Хаана орсон (Feeds)</t>
        </is>
      </c>
      <c r="C4" s="3" t="inlineStr">
        <is>
          <t>Аль сарынх (Period of the data)</t>
        </is>
      </c>
      <c r="D4" s="3" t="inlineStr">
        <is>
          <t>Төлөв (Status)</t>
        </is>
      </c>
      <c r="E4" s="3" t="inlineStr">
        <is>
          <t>Тайлбар (Note)</t>
        </is>
      </c>
    </row>
    <row r="5">
      <c r="A5" s="4" t="inlineStr">
        <is>
          <t>Customs (gaali.mn)</t>
        </is>
      </c>
      <c r="B5" s="5" t="inlineStr">
        <is>
          <t>Trade, Commodities, Border prices, Trade_Sections</t>
        </is>
      </c>
      <c r="C5" s="4" t="inlineStr">
        <is>
          <t>2026-07</t>
        </is>
      </c>
      <c r="D5" s="6" t="inlineStr">
        <is>
          <t>CURRENT</t>
        </is>
      </c>
      <c r="E5" s="5" t="inlineStr">
        <is>
          <t>monthly bulletin for the reported month</t>
        </is>
      </c>
    </row>
    <row r="6">
      <c r="A6" s="7" t="inlineStr">
        <is>
          <t>NSO national accounts</t>
        </is>
      </c>
      <c r="B6" s="8" t="inlineStr">
        <is>
          <t>GDP_Growth, GDP_Sectors</t>
        </is>
      </c>
      <c r="C6" s="7" t="inlineStr">
        <is>
          <t>2026-Q2</t>
        </is>
      </c>
      <c r="D6" s="9" t="inlineStr">
        <is>
          <t>QUARTERLY</t>
        </is>
      </c>
      <c r="E6" s="8" t="inlineStr">
        <is>
          <t>quarterly series — the latest quarter ending on or before the reported month</t>
        </is>
      </c>
    </row>
    <row r="7">
      <c r="A7" s="4" t="inlineStr">
        <is>
          <t>Эдийн засгийн сарын өсөлт (NSO monthly GDP growth)</t>
        </is>
      </c>
      <c r="B7" s="5" t="inlineStr">
        <is>
          <t>GDP_Growth — monthly growth and sector contributions</t>
        </is>
      </c>
      <c r="C7" s="4" t="inlineStr">
        <is>
          <t>2026-05</t>
        </is>
      </c>
      <c r="D7" s="10" t="inlineStr">
        <is>
          <t>LAGGED</t>
        </is>
      </c>
      <c r="E7" s="5" t="inlineStr">
        <is>
          <t>WARNING: MIEG newest period is 2026-05, target is 2026-07</t>
        </is>
      </c>
    </row>
    <row r="8">
      <c r="A8" s="7" t="inlineStr">
        <is>
          <t>Mongolbank bulletin</t>
        </is>
      </c>
      <c r="B8" s="8" t="inlineStr">
        <is>
          <t>Inflation, policy rate, budget, FX</t>
        </is>
      </c>
      <c r="C8" s="7" t="inlineStr">
        <is>
          <t>2026-07</t>
        </is>
      </c>
      <c r="D8" s="6" t="inlineStr">
        <is>
          <t>CURRENT</t>
        </is>
      </c>
      <c r="E8" s="8" t="inlineStr">
        <is>
          <t>issue mongolbank_bulletin.xlsx</t>
        </is>
      </c>
    </row>
    <row r="9">
      <c r="A9" s="4" t="inlineStr">
        <is>
          <t>Bank balance sheet</t>
        </is>
      </c>
      <c r="B9" s="5" t="inlineStr">
        <is>
          <t>Banking (assets, loans, NPL, equity)</t>
        </is>
      </c>
      <c r="C9" s="4" t="inlineStr">
        <is>
          <t>2026-07</t>
        </is>
      </c>
      <c r="D9" s="6" t="inlineStr">
        <is>
          <t>CURRENT</t>
        </is>
      </c>
      <c r="E9" s="5" t="inlineStr">
        <is>
          <t>latest column in the report: 2026.07.31</t>
        </is>
      </c>
    </row>
    <row r="10">
      <c r="A10" s="7" t="inlineStr">
        <is>
          <t>Deposit tree</t>
        </is>
      </c>
      <c r="B10" s="8" t="inlineStr">
        <is>
          <t>Banking (харилцах, хадгаламж)</t>
        </is>
      </c>
      <c r="C10" s="7" t="inlineStr">
        <is>
          <t>2026-07</t>
        </is>
      </c>
      <c r="D10" s="6" t="inlineStr">
        <is>
          <t>CURRENT</t>
        </is>
      </c>
      <c r="E10" s="8" t="inlineStr">
        <is>
          <t>source: deposits_export.json, 19 period column(s)</t>
        </is>
      </c>
    </row>
    <row r="11">
      <c r="A11" s="4" t="inlineStr">
        <is>
          <t>Bank loan report</t>
        </is>
      </c>
      <c r="B11" s="5" t="inlineStr">
        <is>
          <t>Loan_Detail (bridge, sectors, NPL, rates)</t>
        </is>
      </c>
      <c r="C11" s="4" t="inlineStr">
        <is>
          <t>2026-07</t>
        </is>
      </c>
      <c r="D11" s="6" t="inlineStr">
        <is>
          <t>CURRENT</t>
        </is>
      </c>
      <c r="E11" s="5" t="inlineStr">
        <is>
          <t>monthly flow statement</t>
        </is>
      </c>
    </row>
    <row r="12">
      <c r="A12" s="7" t="inlineStr">
        <is>
          <t>Balance of payments</t>
        </is>
      </c>
      <c r="B12" s="8" t="inlineStr">
        <is>
          <t>External_Sector (BoP detail)</t>
        </is>
      </c>
      <c r="C12" s="7" t="inlineStr">
        <is>
          <t>2026-06</t>
        </is>
      </c>
      <c r="D12" s="10" t="inlineStr">
        <is>
          <t>LAGGED</t>
        </is>
      </c>
      <c r="E12" s="8" t="inlineStr">
        <is>
          <t>BoP export reaches month 6 only; these are cumulative I-6 figures, not I-7.</t>
        </is>
      </c>
    </row>
    <row r="13">
      <c r="A13" s="4" t="inlineStr">
        <is>
          <t>NSO Худалдааны салбарын нийт б</t>
        </is>
      </c>
      <c r="B13" s="5" t="inlineStr">
        <is>
          <t>Real_Sector — trade</t>
        </is>
      </c>
      <c r="C13" s="4" t="inlineStr">
        <is>
          <t>2026-06</t>
        </is>
      </c>
      <c r="D13" s="10" t="inlineStr">
        <is>
          <t>LAGGED</t>
        </is>
      </c>
      <c r="E13" s="5" t="inlineStr">
        <is>
          <t>M, 5 components</t>
        </is>
      </c>
    </row>
    <row r="14">
      <c r="A14" s="7" t="inlineStr">
        <is>
          <t>NSO Зочид буудлын салбарын орл</t>
        </is>
      </c>
      <c r="B14" s="8" t="inlineStr">
        <is>
          <t>Real_Sector — hotel</t>
        </is>
      </c>
      <c r="C14" s="7" t="inlineStr">
        <is>
          <t>2026-06</t>
        </is>
      </c>
      <c r="D14" s="10" t="inlineStr">
        <is>
          <t>LAGGED</t>
        </is>
      </c>
      <c r="E14" s="8" t="inlineStr">
        <is>
          <t>M, 5 components</t>
        </is>
      </c>
    </row>
    <row r="15">
      <c r="A15" s="4" t="inlineStr">
        <is>
          <t>NSO Нийтийн хоолны салбарын ор</t>
        </is>
      </c>
      <c r="B15" s="5" t="inlineStr">
        <is>
          <t>Real_Sector — food</t>
        </is>
      </c>
      <c r="C15" s="4" t="inlineStr">
        <is>
          <t>2026-06</t>
        </is>
      </c>
      <c r="D15" s="10" t="inlineStr">
        <is>
          <t>LAGGED</t>
        </is>
      </c>
      <c r="E15" s="5" t="inlineStr">
        <is>
          <t>M, 5 components</t>
        </is>
      </c>
    </row>
    <row r="16">
      <c r="A16" s="7" t="inlineStr">
        <is>
          <t>NSO Барилга угсралт, их засвар</t>
        </is>
      </c>
      <c r="B16" s="8" t="inlineStr">
        <is>
          <t>Real_Sector — construction</t>
        </is>
      </c>
      <c r="C16" s="7" t="inlineStr">
        <is>
          <t>2026-Q2</t>
        </is>
      </c>
      <c r="D16" s="9" t="inlineStr">
        <is>
          <t>QUARTERLY</t>
        </is>
      </c>
      <c r="E16" s="8" t="inlineStr">
        <is>
          <t>Q, 4 components</t>
        </is>
      </c>
    </row>
    <row r="17">
      <c r="A17" s="4" t="inlineStr">
        <is>
          <t>NSO Аж үйлдвэрийн салбарын бүт</t>
        </is>
      </c>
      <c r="B17" s="5" t="inlineStr">
        <is>
          <t>Real_Sector — industry</t>
        </is>
      </c>
      <c r="C17" s="4" t="inlineStr">
        <is>
          <t>2026-07</t>
        </is>
      </c>
      <c r="D17" s="6" t="inlineStr">
        <is>
          <t>CURRENT</t>
        </is>
      </c>
      <c r="E17" s="5" t="inlineStr">
        <is>
          <t>M, 4 components</t>
        </is>
      </c>
    </row>
    <row r="18">
      <c r="A18" s="7" t="inlineStr">
        <is>
          <t>NSO Тээврийн салбарын нийт орл</t>
        </is>
      </c>
      <c r="B18" s="8" t="inlineStr">
        <is>
          <t>Real_Sector — transport</t>
        </is>
      </c>
      <c r="C18" s="7" t="inlineStr">
        <is>
          <t>2026-Q2</t>
        </is>
      </c>
      <c r="D18" s="9" t="inlineStr">
        <is>
          <t>QUARTERLY</t>
        </is>
      </c>
      <c r="E18" s="8" t="inlineStr">
        <is>
          <t>Q, 5 components</t>
        </is>
      </c>
    </row>
    <row r="19">
      <c r="A19" s="4" t="inlineStr">
        <is>
          <t>NSO 7 хоногийн үнийн мэдээ (weekly prices)</t>
        </is>
      </c>
      <c r="B19" s="5" t="inlineStr">
        <is>
          <t>Weekly_Prices — meat and fuel, slide 9</t>
        </is>
      </c>
      <c r="C19" s="4" t="inlineStr">
        <is>
          <t>2026-08-17</t>
        </is>
      </c>
      <c r="D19" s="4" t="inlineStr">
        <is>
          <t>WEEKLY</t>
        </is>
      </c>
      <c r="E19" s="5" t="inlineStr">
        <is>
          <t>31 products, 130 weeks, from nso_weekly_prices.json · LEADING INDICATOR: runs past the reported month; last week inside it was 2026-07-27</t>
        </is>
      </c>
    </row>
    <row r="20">
      <c r="A20" s="7" t="inlineStr">
        <is>
          <t>Mongolbank cards</t>
        </is>
      </c>
      <c r="B20" s="8" t="inlineStr">
        <is>
          <t>External_Sector (reserves, FDI, debt)</t>
        </is>
      </c>
      <c r="C20" s="7" t="inlineStr">
        <is>
          <t>see card dates</t>
        </is>
      </c>
      <c r="D20" s="11" t="inlineStr">
        <is>
          <t>PER-CARD</t>
        </is>
      </c>
      <c r="E20" s="8" t="inlineStr">
        <is>
          <t>each card carries its own 'as of' date: 2026 оны 1-р улирал, 2026 оны 6-р сар, 2026 оны 7-р сар, 2026 оны 7-р сарын байдлаар</t>
        </is>
      </c>
    </row>
    <row r="22">
      <c r="A22" s="4" t="inlineStr">
        <is>
          <t>АНХААР (read before using): Эдийн засгийн сарын өсөлт (NSO monthly GDP growth) is 2026-05, not 2026-07; Balance of payments is 2026-06, not 2026-07; NSO Худалдааны салбарын нийт б is 2026-06, not 2026-07; NSO Зочид буудлын салбарын орл is 2026-06, not 2026-07; NSO Нийтийн хоолны салбарын ор is 2026-06, not 2026-07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pane ySplit="3" topLeftCell="A4" activePane="bottomLeft" state="frozen"/>
      <selection pane="bottomLeft" activeCell="A1" sqref="A1"/>
    </sheetView>
  </sheetViews>
  <sheetFormatPr baseColWidth="8" defaultRowHeight="15"/>
  <cols>
    <col width="38" customWidth="1" min="1" max="1"/>
    <col width="14" customWidth="1" min="2" max="2"/>
    <col width="16" customWidth="1" min="3" max="3"/>
    <col width="30" customWidth="1" min="4" max="4"/>
    <col width="22" customWidth="1" min="5" max="5"/>
    <col width="10" customWidth="1" min="6" max="6"/>
  </cols>
  <sheetData>
    <row r="1">
      <c r="A1" s="1" t="inlineStr">
        <is>
          <t>Macroeconomic KPI Summary — 2026 оны 7-р сар</t>
        </is>
      </c>
    </row>
    <row r="2">
      <c r="A2" s="2" t="inlineStr">
        <is>
          <t>Green figures are live links to the data sheets. Feeds deck slide 3 and headline text on slides 4, 6, 9, 12, 13.</t>
        </is>
      </c>
    </row>
    <row r="4">
      <c r="A4" s="10" t="inlineStr">
        <is>
          <t>МЭДЭЭЛЛИЙН ОН САР / DATA AS OF: энэ хуудас олон эх сурвалжийг нэгтгэнэ (this sheet mixes sources). ӨМНӨХ САРЫНХ / previous month: Эдийн засгийн сарын өсөлт (NSO monthly GDP growth) = 2026-05; Balance of payments = 2026-06; NSO Худалдааны салбарын нийт б = 2026-06; NSO Зочид буудлын салбарын орл = 2026-06; NSO Нийтийн хоолны салбарын ор = 2026-06  —  дэлгэрэнгүйг Data_Vintage хуудаснаас (see Data_Vintage)</t>
        </is>
      </c>
    </row>
    <row r="6">
      <c r="A6" s="3" t="inlineStr">
        <is>
          <t>Үзүүлэлт (Indicator)</t>
        </is>
      </c>
      <c r="B6" s="3" t="inlineStr">
        <is>
          <t>Утга (Value)</t>
        </is>
      </c>
      <c r="C6" s="3" t="inlineStr">
        <is>
          <t>Нэгж (Unit)</t>
        </is>
      </c>
      <c r="D6" s="3" t="inlineStr">
        <is>
          <t>Period / note</t>
        </is>
      </c>
      <c r="E6" s="3" t="inlineStr">
        <is>
          <t>Source</t>
        </is>
      </c>
      <c r="F6" s="3" t="inlineStr">
        <is>
          <t>Deck slide</t>
        </is>
      </c>
    </row>
    <row r="7">
      <c r="A7" s="4" t="inlineStr">
        <is>
          <t>Бодит ДНБ-ий өсөлт (Real GDP growth, YoY cum.)</t>
        </is>
      </c>
      <c r="B7" s="12">
        <f>GDP_Growth!C60</f>
        <v/>
      </c>
      <c r="C7" s="5" t="inlineStr">
        <is>
          <t>%</t>
        </is>
      </c>
      <c r="D7" s="5" t="inlineStr">
        <is>
          <t>2026-Q2</t>
        </is>
      </c>
      <c r="E7" s="5" t="inlineStr">
        <is>
          <t>NSO 1212.mn</t>
        </is>
      </c>
      <c r="F7" s="5" t="inlineStr">
        <is>
          <t>3, 4</t>
        </is>
      </c>
    </row>
    <row r="8">
      <c r="A8" s="7" t="inlineStr">
        <is>
          <t>Эдийн засгийн өсөлтийн сарын индикатор (MIEG, YoY cum.)</t>
        </is>
      </c>
      <c r="B8" s="13" t="n">
        <v>0.0732</v>
      </c>
      <c r="C8" s="8" t="inlineStr">
        <is>
          <t>%</t>
        </is>
      </c>
      <c r="D8" s="8" t="inlineStr">
        <is>
          <t>WARNING: MIEG newest period is 2026-05, target is 2026-07</t>
        </is>
      </c>
      <c r="E8" s="8" t="inlineStr">
        <is>
          <t>NSO 1212.mn</t>
        </is>
      </c>
      <c r="F8" s="8" t="inlineStr">
        <is>
          <t>4</t>
        </is>
      </c>
    </row>
    <row r="9">
      <c r="A9" s="4" t="inlineStr">
        <is>
          <t>Инфляц (Inflation, headline)</t>
        </is>
      </c>
      <c r="B9" s="14" t="n">
        <v>0.13</v>
      </c>
      <c r="C9" s="5" t="inlineStr">
        <is>
          <t>%</t>
        </is>
      </c>
      <c r="D9" s="5" t="inlineStr">
        <is>
          <t>Mongolbank bulletin, 2026 оны 7-р сарын байдлаар</t>
        </is>
      </c>
      <c r="E9" s="5" t="inlineStr">
        <is>
          <t>MB bulletin</t>
        </is>
      </c>
      <c r="F9" s="5" t="inlineStr">
        <is>
          <t>3, 6</t>
        </is>
      </c>
    </row>
    <row r="10">
      <c r="A10" s="7" t="inlineStr">
        <is>
          <t>Инфляцын зорилтот түвшин (Inflation target)</t>
        </is>
      </c>
      <c r="B10" s="13" t="n">
        <v>0.08</v>
      </c>
      <c r="C10" s="8" t="inlineStr">
        <is>
          <t>%</t>
        </is>
      </c>
      <c r="D10" s="8" t="inlineStr">
        <is>
          <t>Mongolbank official target</t>
        </is>
      </c>
      <c r="E10" s="8" t="inlineStr">
        <is>
          <t>Mongolbank</t>
        </is>
      </c>
      <c r="F10" s="8" t="inlineStr">
        <is>
          <t>6</t>
        </is>
      </c>
    </row>
    <row r="11">
      <c r="A11" s="4" t="inlineStr">
        <is>
          <t>Бодлогын хүү (Policy rate)</t>
        </is>
      </c>
      <c r="B11" s="14" t="n">
        <v>0.12</v>
      </c>
      <c r="C11" s="5" t="inlineStr">
        <is>
          <t>%</t>
        </is>
      </c>
      <c r="D11" s="5" t="inlineStr">
        <is>
          <t>MB bulletin, Rate sheet</t>
        </is>
      </c>
      <c r="E11" s="5" t="inlineStr">
        <is>
          <t>Mongolbank</t>
        </is>
      </c>
      <c r="F11" s="5" t="inlineStr">
        <is>
          <t>3, 8</t>
        </is>
      </c>
    </row>
    <row r="12">
      <c r="A12" s="7" t="inlineStr">
        <is>
          <t>Зээлийн хүү (Bank loan rate, new loans)</t>
        </is>
      </c>
      <c r="B12" s="13" t="n">
        <v>0.174</v>
      </c>
      <c r="C12" s="8" t="inlineStr">
        <is>
          <t>%</t>
        </is>
      </c>
      <c r="D12" s="8" t="inlineStr">
        <is>
          <t>2026 оны 7-р сар</t>
        </is>
      </c>
      <c r="E12" s="8" t="inlineStr">
        <is>
          <t>Mongolbank</t>
        </is>
      </c>
      <c r="F12" s="8" t="inlineStr">
        <is>
          <t>8</t>
        </is>
      </c>
    </row>
    <row r="13">
      <c r="A13" s="4" t="inlineStr">
        <is>
          <t>Хадгаламжийн хүү (Deposit rate, new deposits)</t>
        </is>
      </c>
      <c r="B13" s="14" t="n">
        <v>0.114</v>
      </c>
      <c r="C13" s="5" t="inlineStr">
        <is>
          <t>%</t>
        </is>
      </c>
      <c r="D13" s="5" t="inlineStr">
        <is>
          <t>2026 оны 7-р сар</t>
        </is>
      </c>
      <c r="E13" s="5" t="inlineStr">
        <is>
          <t>Mongolbank</t>
        </is>
      </c>
      <c r="F13" s="5" t="inlineStr">
        <is>
          <t>8</t>
        </is>
      </c>
    </row>
    <row r="14">
      <c r="A14" s="7" t="inlineStr">
        <is>
          <t>Банкны салбарын зээл (Bank loans outstanding)</t>
        </is>
      </c>
      <c r="B14" s="15" t="n">
        <v>47.9</v>
      </c>
      <c r="C14" s="8" t="inlineStr">
        <is>
          <t>level</t>
        </is>
      </c>
      <c r="D14" s="8" t="inlineStr">
        <is>
          <t>tln MNT, 2026 оны 7-р сар</t>
        </is>
      </c>
      <c r="E14" s="8" t="inlineStr">
        <is>
          <t>Mongolbank</t>
        </is>
      </c>
      <c r="F14" s="8" t="inlineStr">
        <is>
          <t>16</t>
        </is>
      </c>
    </row>
    <row r="15">
      <c r="A15" s="4" t="inlineStr">
        <is>
          <t>Ипотекийн зээл (Mortgage loans outstanding)</t>
        </is>
      </c>
      <c r="B15" s="16" t="n">
        <v>12.4</v>
      </c>
      <c r="C15" s="5" t="inlineStr">
        <is>
          <t>level</t>
        </is>
      </c>
      <c r="D15" s="5" t="inlineStr">
        <is>
          <t>tln MNT, 2026 оны 7-р сар</t>
        </is>
      </c>
      <c r="E15" s="5" t="inlineStr">
        <is>
          <t>Mongolbank</t>
        </is>
      </c>
      <c r="F15" s="5" t="inlineStr">
        <is>
          <t>16</t>
        </is>
      </c>
    </row>
    <row r="16">
      <c r="A16" s="7" t="inlineStr">
        <is>
          <t>Нийт экспорт (Total export)</t>
        </is>
      </c>
      <c r="B16" s="17">
        <f>Trade!C7</f>
        <v/>
      </c>
      <c r="C16" s="8" t="inlineStr">
        <is>
          <t>level</t>
        </is>
      </c>
      <c r="D16" s="8" t="inlineStr">
        <is>
          <t>thous. USD, 2026 оны 7-р сарын байдлаар</t>
        </is>
      </c>
      <c r="E16" s="8" t="inlineStr">
        <is>
          <t>Customs gaali.mn</t>
        </is>
      </c>
      <c r="F16" s="8" t="inlineStr">
        <is>
          <t>9</t>
        </is>
      </c>
    </row>
    <row r="17">
      <c r="A17" s="4" t="inlineStr">
        <is>
          <t>Нийт импорт (Total import)</t>
        </is>
      </c>
      <c r="B17" s="18">
        <f>Trade!C8</f>
        <v/>
      </c>
      <c r="C17" s="5" t="inlineStr">
        <is>
          <t>level</t>
        </is>
      </c>
      <c r="D17" s="5" t="inlineStr">
        <is>
          <t>thous. USD, 2026 оны 7-р сарын байдлаар</t>
        </is>
      </c>
      <c r="E17" s="5" t="inlineStr">
        <is>
          <t>Customs gaali.mn</t>
        </is>
      </c>
      <c r="F17" s="5" t="inlineStr">
        <is>
          <t>9</t>
        </is>
      </c>
    </row>
    <row r="18">
      <c r="A18" s="7" t="inlineStr">
        <is>
          <t>Худалдааны тэнцэл (Trade balance)</t>
        </is>
      </c>
      <c r="B18" s="17">
        <f>Trade!C7-Trade!C8</f>
        <v/>
      </c>
      <c r="C18" s="8" t="inlineStr">
        <is>
          <t>level</t>
        </is>
      </c>
      <c r="D18" s="8" t="inlineStr">
        <is>
          <t>thous. USD; formula: export cell - import cell</t>
        </is>
      </c>
      <c r="E18" s="8" t="inlineStr">
        <is>
          <t>Customs gaali.mn</t>
        </is>
      </c>
      <c r="F18" s="8" t="inlineStr">
        <is>
          <t>9</t>
        </is>
      </c>
    </row>
    <row r="19">
      <c r="A19" s="4" t="inlineStr">
        <is>
          <t>Экспортын өсөлт (Export growth, YoY)</t>
        </is>
      </c>
      <c r="B19" s="12">
        <f>IFERROR(Trade!C7/Trade!B7-1,"")</f>
        <v/>
      </c>
      <c r="C19" s="5" t="inlineStr">
        <is>
          <t>%</t>
        </is>
      </c>
      <c r="D19" s="5" t="inlineStr">
        <is>
          <t>formula: current / previous - 1</t>
        </is>
      </c>
      <c r="E19" s="5" t="inlineStr">
        <is>
          <t>Customs gaali.mn</t>
        </is>
      </c>
      <c r="F19" s="5" t="inlineStr">
        <is>
          <t>9</t>
        </is>
      </c>
    </row>
    <row r="20">
      <c r="A20" s="7" t="inlineStr">
        <is>
          <t>Импортын өсөлт (Import growth, YoY)</t>
        </is>
      </c>
      <c r="B20" s="19">
        <f>IFERROR(Trade!C8/Trade!B8-1,"")</f>
        <v/>
      </c>
      <c r="C20" s="8" t="inlineStr">
        <is>
          <t>%</t>
        </is>
      </c>
      <c r="D20" s="8" t="inlineStr">
        <is>
          <t>formula: current / previous - 1</t>
        </is>
      </c>
      <c r="E20" s="8" t="inlineStr">
        <is>
          <t>Customs gaali.mn</t>
        </is>
      </c>
      <c r="F20" s="8" t="inlineStr">
        <is>
          <t>9</t>
        </is>
      </c>
    </row>
    <row r="21">
      <c r="A21" s="4" t="inlineStr">
        <is>
          <t>Худалдааны тэнцэл, өмнөх оны эсрэг (Trade balance vs prev yr)</t>
        </is>
      </c>
      <c r="B21" s="20">
        <f>IFERROR(Trade!C9/Trade!B9,"")</f>
        <v/>
      </c>
      <c r="C21" s="5" t="inlineStr">
        <is>
          <t>x</t>
        </is>
      </c>
      <c r="D21" s="5" t="inlineStr">
        <is>
          <t>balance multiple</t>
        </is>
      </c>
      <c r="E21" s="5" t="inlineStr">
        <is>
          <t>Customs gaali.mn</t>
        </is>
      </c>
      <c r="F21" s="5" t="inlineStr">
        <is>
          <t>9</t>
        </is>
      </c>
    </row>
    <row r="22">
      <c r="A22" s="7" t="inlineStr">
        <is>
          <t>Нүүрсний экспортын хэмжээ (Coal export volume)</t>
        </is>
      </c>
      <c r="B22" s="21">
        <f>IFERROR(Commodities!D7/1E9,"")</f>
        <v/>
      </c>
      <c r="C22" s="8" t="inlineStr">
        <is>
          <t>level</t>
        </is>
      </c>
      <c r="D22" s="8" t="inlineStr">
        <is>
          <t>mln t</t>
        </is>
      </c>
      <c r="E22" s="8" t="inlineStr">
        <is>
          <t>Customs gaali.mn</t>
        </is>
      </c>
      <c r="F22" s="8" t="inlineStr">
        <is>
          <t>10, 13</t>
        </is>
      </c>
    </row>
    <row r="23">
      <c r="A23" s="4" t="inlineStr">
        <is>
          <t>Нүүрсний хэмжээний өсөлт (Coal volume growth, YoY)</t>
        </is>
      </c>
      <c r="B23" s="12">
        <f>IFERROR(Commodities!D7/Commodities!C7-1,"")</f>
        <v/>
      </c>
      <c r="C23" s="5" t="inlineStr">
        <is>
          <t>%</t>
        </is>
      </c>
      <c r="D23" s="5" t="inlineStr">
        <is>
          <t>formula over quantity cells</t>
        </is>
      </c>
      <c r="E23" s="5" t="inlineStr">
        <is>
          <t>Customs gaali.mn</t>
        </is>
      </c>
      <c r="F23" s="5" t="inlineStr">
        <is>
          <t>10</t>
        </is>
      </c>
    </row>
    <row r="24">
      <c r="A24" s="7" t="inlineStr">
        <is>
          <t>Зэсийн баяжмалын экспортын хэмжээ (Copper conc. export volume)</t>
        </is>
      </c>
      <c r="B24" s="21">
        <f>IFERROR(Commodities!D8/1E6,"")</f>
        <v/>
      </c>
      <c r="C24" s="8" t="inlineStr">
        <is>
          <t>level</t>
        </is>
      </c>
      <c r="D24" s="8" t="inlineStr">
        <is>
          <t>thous. t</t>
        </is>
      </c>
      <c r="E24" s="8" t="inlineStr">
        <is>
          <t>Customs gaali.mn</t>
        </is>
      </c>
      <c r="F24" s="8" t="inlineStr">
        <is>
          <t>10</t>
        </is>
      </c>
    </row>
    <row r="25">
      <c r="A25" s="4" t="inlineStr">
        <is>
          <t>Зэсийн хэмжээний өсөлт (Copper volume growth, YoY)</t>
        </is>
      </c>
      <c r="B25" s="12">
        <f>IFERROR(Commodities!D8/Commodities!C8-1,"")</f>
        <v/>
      </c>
      <c r="C25" s="5" t="inlineStr">
        <is>
          <t>%</t>
        </is>
      </c>
      <c r="D25" s="5" t="inlineStr">
        <is>
          <t>formula over quantity cells</t>
        </is>
      </c>
      <c r="E25" s="5" t="inlineStr">
        <is>
          <t>Customs gaali.mn</t>
        </is>
      </c>
      <c r="F25" s="5" t="inlineStr">
        <is>
          <t>10</t>
        </is>
      </c>
    </row>
    <row r="26">
      <c r="A26" s="7" t="inlineStr">
        <is>
          <t>Алтны экспортын хэмжээ (Gold export volume)</t>
        </is>
      </c>
      <c r="B26" s="17">
        <f>Commodities!D9</f>
        <v/>
      </c>
      <c r="C26" s="8" t="inlineStr">
        <is>
          <t>level</t>
        </is>
      </c>
      <c r="D26" s="8" t="inlineStr">
        <is>
          <t>kg</t>
        </is>
      </c>
      <c r="E26" s="8" t="inlineStr">
        <is>
          <t>Customs gaali.mn</t>
        </is>
      </c>
      <c r="F26" s="8" t="inlineStr">
        <is>
          <t>10</t>
        </is>
      </c>
    </row>
    <row r="27">
      <c r="A27" s="4" t="inlineStr">
        <is>
          <t>Алтны хэмжээний өсөлт (Gold volume growth, YoY)</t>
        </is>
      </c>
      <c r="B27" s="12">
        <f>IFERROR(Commodities!D9/Commodities!C9-1,"")</f>
        <v/>
      </c>
      <c r="C27" s="5" t="inlineStr">
        <is>
          <t>%</t>
        </is>
      </c>
      <c r="D27" s="5" t="inlineStr">
        <is>
          <t>formula over quantity cells</t>
        </is>
      </c>
      <c r="E27" s="5" t="inlineStr">
        <is>
          <t>Customs gaali.mn</t>
        </is>
      </c>
      <c r="F27" s="5" t="inlineStr">
        <is>
          <t>10</t>
        </is>
      </c>
    </row>
    <row r="28">
      <c r="A28" s="7" t="inlineStr">
        <is>
          <t>Гадаад валютын нөөц (FX reserves)</t>
        </is>
      </c>
      <c r="B28" s="15" t="n">
        <v>7963</v>
      </c>
      <c r="C28" s="8" t="inlineStr">
        <is>
          <t>level</t>
        </is>
      </c>
      <c r="D28" s="8" t="inlineStr">
        <is>
          <t>mln USD, 2026 оны 7-р сар</t>
        </is>
      </c>
      <c r="E28" s="8" t="inlineStr">
        <is>
          <t>Mongolbank</t>
        </is>
      </c>
      <c r="F28" s="8" t="inlineStr">
        <is>
          <t>3, 12</t>
        </is>
      </c>
    </row>
    <row r="29">
      <c r="A29" s="4" t="inlineStr">
        <is>
          <t>Төлбөрийн тэнцэл (Balance of payments)</t>
        </is>
      </c>
      <c r="B29" s="16" t="n">
        <v>567</v>
      </c>
      <c r="C29" s="5" t="inlineStr">
        <is>
          <t>level</t>
        </is>
      </c>
      <c r="D29" s="5" t="inlineStr">
        <is>
          <t>mln USD, 2026 оны 6-р сар</t>
        </is>
      </c>
      <c r="E29" s="5" t="inlineStr">
        <is>
          <t>Mongolbank</t>
        </is>
      </c>
      <c r="F29" s="5" t="inlineStr">
        <is>
          <t>12</t>
        </is>
      </c>
    </row>
    <row r="30">
      <c r="A30" s="7" t="inlineStr">
        <is>
          <t>Нийт гадаад өр (External debt)</t>
        </is>
      </c>
      <c r="B30" s="15" t="n">
        <v>40218</v>
      </c>
      <c r="C30" s="8" t="inlineStr">
        <is>
          <t>level</t>
        </is>
      </c>
      <c r="D30" s="8" t="inlineStr">
        <is>
          <t>mln USD, 2026 оны 1-р улирал</t>
        </is>
      </c>
      <c r="E30" s="8" t="inlineStr">
        <is>
          <t>Mongolbank</t>
        </is>
      </c>
      <c r="F30" s="8" t="inlineStr">
        <is>
          <t>12</t>
        </is>
      </c>
    </row>
    <row r="31">
      <c r="A31" s="4" t="inlineStr">
        <is>
          <t>ШХО-ын үлдэгдэл (FDI stock)</t>
        </is>
      </c>
      <c r="B31" s="16" t="n">
        <v>37509</v>
      </c>
      <c r="C31" s="5" t="inlineStr">
        <is>
          <t>level</t>
        </is>
      </c>
      <c r="D31" s="5" t="inlineStr">
        <is>
          <t>mln USD, 2026 оны 1-р улирал</t>
        </is>
      </c>
      <c r="E31" s="5" t="inlineStr">
        <is>
          <t>Mongolbank</t>
        </is>
      </c>
      <c r="F31" s="5" t="inlineStr">
        <is>
          <t>12</t>
        </is>
      </c>
    </row>
    <row r="32">
      <c r="A32" s="7" t="inlineStr">
        <is>
          <t>Ам.долларын ханш (USD/MNT rate, eop)</t>
        </is>
      </c>
      <c r="B32" s="15" t="n">
        <v>3592.73</v>
      </c>
      <c r="C32" s="8" t="inlineStr">
        <is>
          <t>level</t>
        </is>
      </c>
      <c r="D32" s="8" t="inlineStr">
        <is>
          <t>YoY 0.1%, MB bulletin Exchange rate sheet</t>
        </is>
      </c>
      <c r="E32" s="8" t="inlineStr">
        <is>
          <t>MB bulletin</t>
        </is>
      </c>
      <c r="F32" s="8" t="inlineStr">
        <is>
          <t>3</t>
        </is>
      </c>
    </row>
    <row r="33">
      <c r="A33" s="4" t="inlineStr">
        <is>
          <t>Банкны нийт зээлийн өсөлт (DC loans growth, YoY)</t>
        </is>
      </c>
      <c r="B33" s="14" t="n">
        <v>0.13</v>
      </c>
      <c r="C33" s="5" t="inlineStr">
        <is>
          <t>%</t>
        </is>
      </c>
      <c r="D33" s="5" t="inlineStr">
        <is>
          <t>loans outstanding 48.19 tln ₮</t>
        </is>
      </c>
      <c r="E33" s="5" t="inlineStr">
        <is>
          <t>MB bulletin</t>
        </is>
      </c>
      <c r="F33" s="5" t="inlineStr">
        <is>
          <t>16</t>
        </is>
      </c>
    </row>
    <row r="34">
      <c r="A34" s="7" t="inlineStr">
        <is>
          <t>Иргэдийн зээлийн өсөлт (Individuals' loans growth, YoY)</t>
        </is>
      </c>
      <c r="B34" s="13" t="n">
        <v>0.121</v>
      </c>
      <c r="C34" s="8" t="inlineStr">
        <is>
          <t>%</t>
        </is>
      </c>
      <c r="D34" s="8" t="inlineStr">
        <is>
          <t>individuals 26.65 tln ₮</t>
        </is>
      </c>
      <c r="E34" s="8" t="inlineStr">
        <is>
          <t>MB bulletin</t>
        </is>
      </c>
      <c r="F34" s="8" t="inlineStr">
        <is>
          <t>16</t>
        </is>
      </c>
    </row>
    <row r="35">
      <c r="A35" s="4" t="inlineStr">
        <is>
          <t>Банкны нийт актив (Bank total assets)</t>
        </is>
      </c>
      <c r="B35" s="22">
        <f>IFERROR(Banking!C7/1E6,"")</f>
        <v/>
      </c>
      <c r="C35" s="5" t="inlineStr">
        <is>
          <t>level</t>
        </is>
      </c>
      <c r="D35" s="5" t="inlineStr">
        <is>
          <t>tln MNT, as of 2026.07.31</t>
        </is>
      </c>
      <c r="E35" s="5" t="inlineStr">
        <is>
          <t>Mongolbank</t>
        </is>
      </c>
      <c r="F35" s="5" t="inlineStr">
        <is>
          <t>16</t>
        </is>
      </c>
    </row>
    <row r="36">
      <c r="A36" s="7" t="inlineStr">
        <is>
          <t>Чанаргүй зээлийн өөрчлөлт (Bank NPL change since Jan)</t>
        </is>
      </c>
      <c r="B36" s="19">
        <f>IFERROR(Banking!C12/Banking!B12-1,"")</f>
        <v/>
      </c>
      <c r="C36" s="8" t="inlineStr">
        <is>
          <t>%</t>
        </is>
      </c>
      <c r="D36" s="8" t="inlineStr">
        <is>
          <t>change measured 2025.07.31 -&gt; 2026.07.31 (earliest column in the report; not necessarily 31 Dec)</t>
        </is>
      </c>
      <c r="E36" s="8" t="inlineStr">
        <is>
          <t>Mongolbank</t>
        </is>
      </c>
      <c r="F36" s="8" t="inlineStr">
        <is>
          <t>16</t>
        </is>
      </c>
    </row>
    <row r="37">
      <c r="A37" s="4" t="inlineStr">
        <is>
          <t>Төсвийн тэнцэл (Budget balance, cum.)</t>
        </is>
      </c>
      <c r="B37" s="16" t="n">
        <v>-2206.4</v>
      </c>
      <c r="C37" s="5" t="inlineStr">
        <is>
          <t>level</t>
        </is>
      </c>
      <c r="D37" s="5" t="inlineStr">
        <is>
          <t>bln MNT, 2026 оны 7-р сарын байдлаар</t>
        </is>
      </c>
      <c r="E37" s="5" t="inlineStr">
        <is>
          <t>MB bulletin</t>
        </is>
      </c>
      <c r="F37" s="5" t="inlineStr">
        <is>
          <t>13</t>
        </is>
      </c>
    </row>
    <row r="38">
      <c r="A38" s="7" t="inlineStr">
        <is>
          <t>Төсвийн орлого, гүйцэтгэл (Budget revenue collected)</t>
        </is>
      </c>
      <c r="B38" s="15" t="n">
        <v>19829.8</v>
      </c>
      <c r="C38" s="8" t="inlineStr">
        <is>
          <t>level</t>
        </is>
      </c>
      <c r="D38" s="8" t="inlineStr">
        <is>
          <t>bln MNT</t>
        </is>
      </c>
      <c r="E38" s="8" t="inlineStr">
        <is>
          <t>MB bulletin</t>
        </is>
      </c>
      <c r="F38" s="8" t="inlineStr">
        <is>
          <t>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9"/>
  <sheetViews>
    <sheetView workbookViewId="0">
      <pane ySplit="3" topLeftCell="A4" activePane="bottomLeft" state="frozen"/>
      <selection pane="bottomLeft" activeCell="A1" sqref="A1"/>
    </sheetView>
  </sheetViews>
  <sheetFormatPr baseColWidth="8" defaultRowHeight="15"/>
  <cols>
    <col width="40" customWidth="1" min="1" max="1"/>
    <col width="14" customWidth="1" min="2" max="2"/>
    <col width="12" customWidth="1" min="3" max="3"/>
    <col width="12" customWidth="1" min="4" max="4"/>
    <col width="12" customWidth="1" min="5" max="5"/>
  </cols>
  <sheetData>
    <row r="1">
      <c r="A1" s="1" t="inlineStr">
        <is>
          <t>Real GDP (2015 prices) — levels &amp; growth</t>
        </is>
      </c>
    </row>
    <row r="2">
      <c r="A2" s="2" t="inlineStr">
        <is>
          <t>Deck slide 4. Source datapoints: NSO National Accounts (DT_NSO_0500_004V1). All growth figures are formulas over the quarterly levels below.</t>
        </is>
      </c>
    </row>
    <row r="4">
      <c r="A4" s="6" t="inlineStr">
        <is>
          <t>МЭДЭЭЛЛИЙН ОН САР / DATA AS OF:  NSO national accounts — 2026-Q2 (QUARTERLY)      [тайлант үе / reported month: 2026-07]</t>
        </is>
      </c>
    </row>
    <row r="6">
      <c r="A6" s="23" t="inlineStr">
        <is>
          <t>Улирлын бодит ДНБ (Quarterly real GDP levels, mln MNT, 2015 prices)</t>
        </is>
      </c>
    </row>
    <row r="7">
      <c r="A7" s="3" t="inlineStr">
        <is>
          <t>Он (Year)</t>
        </is>
      </c>
      <c r="B7" s="3" t="inlineStr">
        <is>
          <t>Улирал (Quarter)</t>
        </is>
      </c>
      <c r="C7" s="3" t="inlineStr">
        <is>
          <t>Бодит ДНБ (Real GDP, 2015p)</t>
        </is>
      </c>
      <c r="D7" s="3" t="inlineStr">
        <is>
          <t>Жилийн өсөлт (YoY growth)</t>
        </is>
      </c>
    </row>
    <row r="8">
      <c r="A8" s="5" t="n">
        <v>2015</v>
      </c>
      <c r="B8" s="5" t="n">
        <v>1</v>
      </c>
      <c r="C8" s="24" t="n">
        <v>4193640.8</v>
      </c>
    </row>
    <row r="9">
      <c r="A9" s="5" t="n">
        <v>2015</v>
      </c>
      <c r="B9" s="5" t="n">
        <v>2</v>
      </c>
      <c r="C9" s="24" t="n">
        <v>6296039.6</v>
      </c>
    </row>
    <row r="10">
      <c r="A10" s="5" t="n">
        <v>2015</v>
      </c>
      <c r="B10" s="5" t="n">
        <v>3</v>
      </c>
      <c r="C10" s="24" t="n">
        <v>6303713.8</v>
      </c>
    </row>
    <row r="11">
      <c r="A11" s="5" t="n">
        <v>2015</v>
      </c>
      <c r="B11" s="5" t="n">
        <v>4</v>
      </c>
      <c r="C11" s="24" t="n">
        <v>6101386.7</v>
      </c>
    </row>
    <row r="12">
      <c r="A12" s="5" t="n">
        <v>2016</v>
      </c>
      <c r="B12" s="5" t="n">
        <v>1</v>
      </c>
      <c r="C12" s="24" t="n">
        <v>4302469.6</v>
      </c>
      <c r="D12" s="14">
        <f>IFERROR(C12/C8-1,"")</f>
        <v/>
      </c>
    </row>
    <row r="13">
      <c r="A13" s="5" t="n">
        <v>2016</v>
      </c>
      <c r="B13" s="5" t="n">
        <v>2</v>
      </c>
      <c r="C13" s="24" t="n">
        <v>6353504.7</v>
      </c>
      <c r="D13" s="14">
        <f>IFERROR(C13/C9-1,"")</f>
        <v/>
      </c>
    </row>
    <row r="14">
      <c r="A14" s="5" t="n">
        <v>2016</v>
      </c>
      <c r="B14" s="5" t="n">
        <v>3</v>
      </c>
      <c r="C14" s="24" t="n">
        <v>5990073.9</v>
      </c>
      <c r="D14" s="14">
        <f>IFERROR(C14/C10-1,"")</f>
        <v/>
      </c>
    </row>
    <row r="15">
      <c r="A15" s="5" t="n">
        <v>2016</v>
      </c>
      <c r="B15" s="5" t="n">
        <v>4</v>
      </c>
      <c r="C15" s="24" t="n">
        <v>6589815.6</v>
      </c>
      <c r="D15" s="14">
        <f>IFERROR(C15/C11-1,"")</f>
        <v/>
      </c>
    </row>
    <row r="16">
      <c r="A16" s="5" t="n">
        <v>2017</v>
      </c>
      <c r="B16" s="5" t="n">
        <v>1</v>
      </c>
      <c r="C16" s="24" t="n">
        <v>4550537.5</v>
      </c>
      <c r="D16" s="14">
        <f>IFERROR(C16/C12-1,"")</f>
        <v/>
      </c>
    </row>
    <row r="17">
      <c r="A17" s="5" t="n">
        <v>2017</v>
      </c>
      <c r="B17" s="5" t="n">
        <v>2</v>
      </c>
      <c r="C17" s="24" t="n">
        <v>6731828.3</v>
      </c>
      <c r="D17" s="14">
        <f>IFERROR(C17/C13-1,"")</f>
        <v/>
      </c>
    </row>
    <row r="18">
      <c r="A18" s="5" t="n">
        <v>2017</v>
      </c>
      <c r="B18" s="5" t="n">
        <v>3</v>
      </c>
      <c r="C18" s="24" t="n">
        <v>6388502.9</v>
      </c>
      <c r="D18" s="14">
        <f>IFERROR(C18/C14-1,"")</f>
        <v/>
      </c>
    </row>
    <row r="19">
      <c r="A19" s="5" t="n">
        <v>2017</v>
      </c>
      <c r="B19" s="5" t="n">
        <v>4</v>
      </c>
      <c r="C19" s="24" t="n">
        <v>6874772</v>
      </c>
      <c r="D19" s="14">
        <f>IFERROR(C19/C15-1,"")</f>
        <v/>
      </c>
    </row>
    <row r="20">
      <c r="A20" s="5" t="n">
        <v>2018</v>
      </c>
      <c r="B20" s="5" t="n">
        <v>1</v>
      </c>
      <c r="C20" s="24" t="n">
        <v>4836449.6</v>
      </c>
      <c r="D20" s="14">
        <f>IFERROR(C20/C16-1,"")</f>
        <v/>
      </c>
    </row>
    <row r="21">
      <c r="A21" s="5" t="n">
        <v>2018</v>
      </c>
      <c r="B21" s="5" t="n">
        <v>2</v>
      </c>
      <c r="C21" s="24" t="n">
        <v>7225676.3</v>
      </c>
      <c r="D21" s="14">
        <f>IFERROR(C21/C17-1,"")</f>
        <v/>
      </c>
    </row>
    <row r="22">
      <c r="A22" s="5" t="n">
        <v>2018</v>
      </c>
      <c r="B22" s="5" t="n">
        <v>3</v>
      </c>
      <c r="C22" s="24" t="n">
        <v>6841775.1</v>
      </c>
      <c r="D22" s="14">
        <f>IFERROR(C22/C18-1,"")</f>
        <v/>
      </c>
    </row>
    <row r="23">
      <c r="A23" s="5" t="n">
        <v>2018</v>
      </c>
      <c r="B23" s="5" t="n">
        <v>4</v>
      </c>
      <c r="C23" s="24" t="n">
        <v>7542770.3</v>
      </c>
      <c r="D23" s="14">
        <f>IFERROR(C23/C19-1,"")</f>
        <v/>
      </c>
    </row>
    <row r="24">
      <c r="A24" s="5" t="n">
        <v>2019</v>
      </c>
      <c r="B24" s="5" t="n">
        <v>1</v>
      </c>
      <c r="C24" s="24" t="n">
        <v>5252559.4</v>
      </c>
      <c r="D24" s="14">
        <f>IFERROR(C24/C20-1,"")</f>
        <v/>
      </c>
    </row>
    <row r="25">
      <c r="A25" s="5" t="n">
        <v>2019</v>
      </c>
      <c r="B25" s="5" t="n">
        <v>2</v>
      </c>
      <c r="C25" s="24" t="n">
        <v>7720480.2</v>
      </c>
      <c r="D25" s="14">
        <f>IFERROR(C25/C21-1,"")</f>
        <v/>
      </c>
    </row>
    <row r="26">
      <c r="A26" s="5" t="n">
        <v>2019</v>
      </c>
      <c r="B26" s="5" t="n">
        <v>3</v>
      </c>
      <c r="C26" s="24" t="n">
        <v>7215428.8</v>
      </c>
      <c r="D26" s="14">
        <f>IFERROR(C26/C22-1,"")</f>
        <v/>
      </c>
    </row>
    <row r="27">
      <c r="A27" s="5" t="n">
        <v>2019</v>
      </c>
      <c r="B27" s="5" t="n">
        <v>4</v>
      </c>
      <c r="C27" s="24" t="n">
        <v>7739810.1</v>
      </c>
      <c r="D27" s="14">
        <f>IFERROR(C27/C23-1,"")</f>
        <v/>
      </c>
    </row>
    <row r="28">
      <c r="A28" s="5" t="n">
        <v>2020</v>
      </c>
      <c r="B28" s="5" t="n">
        <v>1</v>
      </c>
      <c r="C28" s="24" t="n">
        <v>4720726.7</v>
      </c>
      <c r="D28" s="14">
        <f>IFERROR(C28/C24-1,"")</f>
        <v/>
      </c>
    </row>
    <row r="29">
      <c r="A29" s="5" t="n">
        <v>2020</v>
      </c>
      <c r="B29" s="5" t="n">
        <v>2</v>
      </c>
      <c r="C29" s="24" t="n">
        <v>7090270.1</v>
      </c>
      <c r="D29" s="14">
        <f>IFERROR(C29/C25-1,"")</f>
        <v/>
      </c>
    </row>
    <row r="30">
      <c r="A30" s="5" t="n">
        <v>2020</v>
      </c>
      <c r="B30" s="5" t="n">
        <v>3</v>
      </c>
      <c r="C30" s="24" t="n">
        <v>7024671.9</v>
      </c>
      <c r="D30" s="14">
        <f>IFERROR(C30/C26-1,"")</f>
        <v/>
      </c>
    </row>
    <row r="31">
      <c r="A31" s="5" t="n">
        <v>2020</v>
      </c>
      <c r="B31" s="5" t="n">
        <v>4</v>
      </c>
      <c r="C31" s="24" t="n">
        <v>7819708</v>
      </c>
      <c r="D31" s="14">
        <f>IFERROR(C31/C27-1,"")</f>
        <v/>
      </c>
    </row>
    <row r="32">
      <c r="A32" s="5" t="n">
        <v>2021</v>
      </c>
      <c r="B32" s="5" t="n">
        <v>1</v>
      </c>
      <c r="C32" s="24" t="n">
        <v>5420561.8</v>
      </c>
      <c r="D32" s="14">
        <f>IFERROR(C32/C28-1,"")</f>
        <v/>
      </c>
    </row>
    <row r="33">
      <c r="A33" s="5" t="n">
        <v>2021</v>
      </c>
      <c r="B33" s="5" t="n">
        <v>2</v>
      </c>
      <c r="C33" s="24" t="n">
        <v>7133813.2</v>
      </c>
      <c r="D33" s="14">
        <f>IFERROR(C33/C29-1,"")</f>
        <v/>
      </c>
    </row>
    <row r="34">
      <c r="A34" s="5" t="n">
        <v>2021</v>
      </c>
      <c r="B34" s="5" t="n">
        <v>3</v>
      </c>
      <c r="C34" s="24" t="n">
        <v>6980592.3</v>
      </c>
      <c r="D34" s="14">
        <f>IFERROR(C34/C30-1,"")</f>
        <v/>
      </c>
    </row>
    <row r="35">
      <c r="A35" s="5" t="n">
        <v>2021</v>
      </c>
      <c r="B35" s="5" t="n">
        <v>4</v>
      </c>
      <c r="C35" s="24" t="n">
        <v>7556696.5</v>
      </c>
      <c r="D35" s="14">
        <f>IFERROR(C35/C31-1,"")</f>
        <v/>
      </c>
    </row>
    <row r="36">
      <c r="A36" s="5" t="n">
        <v>2022</v>
      </c>
      <c r="B36" s="5" t="n">
        <v>1</v>
      </c>
      <c r="C36" s="24" t="n">
        <v>5214062.5</v>
      </c>
      <c r="D36" s="14">
        <f>IFERROR(C36/C32-1,"")</f>
        <v/>
      </c>
    </row>
    <row r="37">
      <c r="A37" s="5" t="n">
        <v>2022</v>
      </c>
      <c r="B37" s="5" t="n">
        <v>2</v>
      </c>
      <c r="C37" s="24" t="n">
        <v>7593802.8</v>
      </c>
      <c r="D37" s="14">
        <f>IFERROR(C37/C33-1,"")</f>
        <v/>
      </c>
    </row>
    <row r="38">
      <c r="A38" s="5" t="n">
        <v>2022</v>
      </c>
      <c r="B38" s="5" t="n">
        <v>3</v>
      </c>
      <c r="C38" s="24" t="n">
        <v>7479047.1</v>
      </c>
      <c r="D38" s="14">
        <f>IFERROR(C38/C34-1,"")</f>
        <v/>
      </c>
    </row>
    <row r="39">
      <c r="A39" s="5" t="n">
        <v>2022</v>
      </c>
      <c r="B39" s="5" t="n">
        <v>4</v>
      </c>
      <c r="C39" s="24" t="n">
        <v>8168196.2</v>
      </c>
      <c r="D39" s="14">
        <f>IFERROR(C39/C35-1,"")</f>
        <v/>
      </c>
    </row>
    <row r="40">
      <c r="A40" s="5" t="n">
        <v>2023</v>
      </c>
      <c r="B40" s="5" t="n">
        <v>1</v>
      </c>
      <c r="C40" s="24" t="n">
        <v>5629806.9</v>
      </c>
      <c r="D40" s="14">
        <f>IFERROR(C40/C36-1,"")</f>
        <v/>
      </c>
    </row>
    <row r="41">
      <c r="A41" s="5" t="n">
        <v>2023</v>
      </c>
      <c r="B41" s="5" t="n">
        <v>2</v>
      </c>
      <c r="C41" s="24" t="n">
        <v>8030992.9</v>
      </c>
      <c r="D41" s="14">
        <f>IFERROR(C41/C37-1,"")</f>
        <v/>
      </c>
    </row>
    <row r="42">
      <c r="A42" s="5" t="n">
        <v>2023</v>
      </c>
      <c r="B42" s="5" t="n">
        <v>3</v>
      </c>
      <c r="C42" s="24" t="n">
        <v>8090660.1</v>
      </c>
      <c r="D42" s="14">
        <f>IFERROR(C42/C38-1,"")</f>
        <v/>
      </c>
    </row>
    <row r="43">
      <c r="A43" s="5" t="n">
        <v>2023</v>
      </c>
      <c r="B43" s="5" t="n">
        <v>4</v>
      </c>
      <c r="C43" s="24" t="n">
        <v>8815619</v>
      </c>
      <c r="D43" s="14">
        <f>IFERROR(C43/C39-1,"")</f>
        <v/>
      </c>
    </row>
    <row r="44">
      <c r="A44" s="5" t="n">
        <v>2024</v>
      </c>
      <c r="B44" s="5" t="n">
        <v>1</v>
      </c>
      <c r="C44" s="24" t="n">
        <v>6084179.7</v>
      </c>
      <c r="D44" s="14">
        <f>IFERROR(C44/C40-1,"")</f>
        <v/>
      </c>
    </row>
    <row r="45">
      <c r="A45" s="5" t="n">
        <v>2024</v>
      </c>
      <c r="B45" s="5" t="n">
        <v>2</v>
      </c>
      <c r="C45" s="24" t="n">
        <v>8361436.6</v>
      </c>
      <c r="D45" s="14">
        <f>IFERROR(C45/C41-1,"")</f>
        <v/>
      </c>
    </row>
    <row r="46">
      <c r="A46" s="5" t="n">
        <v>2024</v>
      </c>
      <c r="B46" s="5" t="n">
        <v>3</v>
      </c>
      <c r="C46" s="24" t="n">
        <v>8444957.4</v>
      </c>
      <c r="D46" s="14">
        <f>IFERROR(C46/C42-1,"")</f>
        <v/>
      </c>
    </row>
    <row r="47">
      <c r="A47" s="5" t="n">
        <v>2024</v>
      </c>
      <c r="B47" s="5" t="n">
        <v>4</v>
      </c>
      <c r="C47" s="24" t="n">
        <v>9242164.800000001</v>
      </c>
      <c r="D47" s="14">
        <f>IFERROR(C47/C43-1,"")</f>
        <v/>
      </c>
    </row>
    <row r="48">
      <c r="A48" s="5" t="n">
        <v>2025</v>
      </c>
      <c r="B48" s="5" t="n">
        <v>1</v>
      </c>
      <c r="C48" s="24" t="n">
        <v>6244927</v>
      </c>
      <c r="D48" s="14">
        <f>IFERROR(C48/C44-1,"")</f>
        <v/>
      </c>
    </row>
    <row r="49">
      <c r="A49" s="5" t="n">
        <v>2025</v>
      </c>
      <c r="B49" s="5" t="n">
        <v>2</v>
      </c>
      <c r="C49" s="24" t="n">
        <v>9012460.6</v>
      </c>
      <c r="D49" s="14">
        <f>IFERROR(C49/C45-1,"")</f>
        <v/>
      </c>
    </row>
    <row r="50">
      <c r="A50" s="5" t="n">
        <v>2025</v>
      </c>
      <c r="B50" s="5" t="n">
        <v>3</v>
      </c>
      <c r="C50" s="24" t="n">
        <v>8993108.1</v>
      </c>
      <c r="D50" s="14">
        <f>IFERROR(C50/C46-1,"")</f>
        <v/>
      </c>
    </row>
    <row r="51">
      <c r="A51" s="5" t="n">
        <v>2025</v>
      </c>
      <c r="B51" s="5" t="n">
        <v>4</v>
      </c>
      <c r="C51" s="24" t="n">
        <v>10081379.9</v>
      </c>
      <c r="D51" s="14">
        <f>IFERROR(C51/C47-1,"")</f>
        <v/>
      </c>
    </row>
    <row r="52">
      <c r="A52" s="5" t="n">
        <v>2026</v>
      </c>
      <c r="B52" s="5" t="n">
        <v>1</v>
      </c>
      <c r="C52" s="24" t="n">
        <v>6736128.5</v>
      </c>
      <c r="D52" s="14">
        <f>IFERROR(C52/C48-1,"")</f>
        <v/>
      </c>
    </row>
    <row r="53">
      <c r="A53" s="5" t="n">
        <v>2026</v>
      </c>
      <c r="B53" s="5" t="n">
        <v>2</v>
      </c>
      <c r="C53" s="24" t="n">
        <v>9692115</v>
      </c>
      <c r="D53" s="14">
        <f>IFERROR(C53/C49-1,"")</f>
        <v/>
      </c>
    </row>
    <row r="56">
      <c r="A56" s="23" t="inlineStr">
        <is>
          <t>Өссөн дүнгээрх өсөлт (Cumulative growth by period = SUM of quarters vs same quarters a year earlier)</t>
        </is>
      </c>
    </row>
    <row r="57">
      <c r="A57" s="3" t="inlineStr">
        <is>
          <t>Он (Year)</t>
        </is>
      </c>
      <c r="B57" s="3" t="inlineStr">
        <is>
          <t>I-III</t>
        </is>
      </c>
      <c r="C57" s="3" t="inlineStr">
        <is>
          <t>I-VI</t>
        </is>
      </c>
      <c r="D57" s="3" t="inlineStr">
        <is>
          <t>I-IX</t>
        </is>
      </c>
      <c r="E57" s="3" t="inlineStr">
        <is>
          <t>I-XII</t>
        </is>
      </c>
    </row>
    <row r="58">
      <c r="A58" s="4" t="n">
        <v>2024</v>
      </c>
      <c r="B58" s="14">
        <f>IFERROR(SUM(C44:C44)/SUM(C40:C40)-1,"")</f>
        <v/>
      </c>
      <c r="C58" s="14">
        <f>IFERROR(SUM(C44:C45)/SUM(C40:C41)-1,"")</f>
        <v/>
      </c>
      <c r="D58" s="14">
        <f>IFERROR(SUM(C44:C46)/SUM(C40:C42)-1,"")</f>
        <v/>
      </c>
      <c r="E58" s="14">
        <f>IFERROR(SUM(C44:C47)/SUM(C40:C43)-1,"")</f>
        <v/>
      </c>
    </row>
    <row r="59">
      <c r="A59" s="4" t="n">
        <v>2025</v>
      </c>
      <c r="B59" s="14">
        <f>IFERROR(SUM(C48:C48)/SUM(C44:C44)-1,"")</f>
        <v/>
      </c>
      <c r="C59" s="14">
        <f>IFERROR(SUM(C48:C49)/SUM(C44:C45)-1,"")</f>
        <v/>
      </c>
      <c r="D59" s="14">
        <f>IFERROR(SUM(C48:C50)/SUM(C44:C46)-1,"")</f>
        <v/>
      </c>
      <c r="E59" s="14">
        <f>IFERROR(SUM(C48:C51)/SUM(C44:C47)-1,"")</f>
        <v/>
      </c>
    </row>
    <row r="60">
      <c r="A60" s="4" t="n">
        <v>2026</v>
      </c>
      <c r="B60" s="14">
        <f>IFERROR(SUM(C52:C52)/SUM(C48:C48)-1,"")</f>
        <v/>
      </c>
      <c r="C60" s="14">
        <f>IFERROR(SUM(C52:C53)/SUM(C48:C49)-1,"")</f>
        <v/>
      </c>
    </row>
    <row r="63">
      <c r="A63" s="23" t="inlineStr">
        <is>
          <t>Эдийн засгийн өсөлтийн сарын индикатор (MIEG, cumulative YoY, NSO DT_NSO_0500_001V5)</t>
        </is>
      </c>
    </row>
    <row r="64">
      <c r="A64" s="3" t="inlineStr">
        <is>
          <t>Сар (Month)</t>
        </is>
      </c>
      <c r="B64" s="3" t="inlineStr">
        <is>
          <t>Өсөлт (Growth, YoY cum.)</t>
        </is>
      </c>
    </row>
    <row r="65">
      <c r="A65" s="5" t="inlineStr">
        <is>
          <t>2016-01</t>
        </is>
      </c>
      <c r="B65" s="14" t="n">
        <v>0.0274</v>
      </c>
    </row>
    <row r="66">
      <c r="A66" s="8" t="inlineStr">
        <is>
          <t>2016-02</t>
        </is>
      </c>
      <c r="B66" s="13" t="n">
        <v>0.0336</v>
      </c>
    </row>
    <row r="67">
      <c r="A67" s="5" t="inlineStr">
        <is>
          <t>2016-03</t>
        </is>
      </c>
      <c r="B67" s="14" t="n">
        <v>0.026</v>
      </c>
    </row>
    <row r="68">
      <c r="A68" s="8" t="inlineStr">
        <is>
          <t>2016-04</t>
        </is>
      </c>
      <c r="B68" s="13" t="n">
        <v>0.0256</v>
      </c>
    </row>
    <row r="69">
      <c r="A69" s="5" t="inlineStr">
        <is>
          <t>2016-05</t>
        </is>
      </c>
      <c r="B69" s="14" t="n">
        <v>0.0251</v>
      </c>
    </row>
    <row r="70">
      <c r="A70" s="8" t="inlineStr">
        <is>
          <t>2016-06</t>
        </is>
      </c>
      <c r="B70" s="13" t="n">
        <v>0.0158</v>
      </c>
    </row>
    <row r="71">
      <c r="A71" s="5" t="inlineStr">
        <is>
          <t>2016-07</t>
        </is>
      </c>
      <c r="B71" s="14" t="n">
        <v>0.005500000000000001</v>
      </c>
    </row>
    <row r="72">
      <c r="A72" s="8" t="inlineStr">
        <is>
          <t>2016-08</t>
        </is>
      </c>
      <c r="B72" s="13" t="n">
        <v>0.0004</v>
      </c>
    </row>
    <row r="73">
      <c r="A73" s="5" t="inlineStr">
        <is>
          <t>2016-09</t>
        </is>
      </c>
      <c r="B73" s="14" t="n">
        <v>-0.008800000000000001</v>
      </c>
    </row>
    <row r="74">
      <c r="A74" s="8" t="inlineStr">
        <is>
          <t>2016-10</t>
        </is>
      </c>
      <c r="B74" s="13" t="n">
        <v>0.0001</v>
      </c>
    </row>
    <row r="75">
      <c r="A75" s="5" t="inlineStr">
        <is>
          <t>2016-11</t>
        </is>
      </c>
      <c r="B75" s="14" t="n">
        <v>0.0097</v>
      </c>
    </row>
    <row r="76">
      <c r="A76" s="8" t="inlineStr">
        <is>
          <t>2016-12</t>
        </is>
      </c>
      <c r="B76" s="13" t="n">
        <v>0.0149</v>
      </c>
    </row>
    <row r="77">
      <c r="A77" s="5" t="inlineStr">
        <is>
          <t>2017-01</t>
        </is>
      </c>
      <c r="B77" s="14" t="n">
        <v>0.0249</v>
      </c>
    </row>
    <row r="78">
      <c r="A78" s="8" t="inlineStr">
        <is>
          <t>2017-02</t>
        </is>
      </c>
      <c r="B78" s="13" t="n">
        <v>0.0364</v>
      </c>
    </row>
    <row r="79">
      <c r="A79" s="5" t="inlineStr">
        <is>
          <t>2017-03</t>
        </is>
      </c>
      <c r="B79" s="14" t="n">
        <v>0.05769999999999999</v>
      </c>
    </row>
    <row r="80">
      <c r="A80" s="8" t="inlineStr">
        <is>
          <t>2017-04</t>
        </is>
      </c>
      <c r="B80" s="13" t="n">
        <v>0.0507</v>
      </c>
    </row>
    <row r="81">
      <c r="A81" s="5" t="inlineStr">
        <is>
          <t>2017-05</t>
        </is>
      </c>
      <c r="B81" s="14" t="n">
        <v>0.0496</v>
      </c>
    </row>
    <row r="82">
      <c r="A82" s="8" t="inlineStr">
        <is>
          <t>2017-06</t>
        </is>
      </c>
      <c r="B82" s="13" t="n">
        <v>0.0588</v>
      </c>
    </row>
    <row r="83">
      <c r="A83" s="5" t="inlineStr">
        <is>
          <t>2017-07</t>
        </is>
      </c>
      <c r="B83" s="14" t="n">
        <v>0.0546</v>
      </c>
    </row>
    <row r="84">
      <c r="A84" s="8" t="inlineStr">
        <is>
          <t>2017-08</t>
        </is>
      </c>
      <c r="B84" s="13" t="n">
        <v>0.0538</v>
      </c>
    </row>
    <row r="85">
      <c r="A85" s="5" t="inlineStr">
        <is>
          <t>2017-09</t>
        </is>
      </c>
      <c r="B85" s="14" t="n">
        <v>0.0616</v>
      </c>
    </row>
    <row r="86">
      <c r="A86" s="8" t="inlineStr">
        <is>
          <t>2017-10</t>
        </is>
      </c>
      <c r="B86" s="13" t="n">
        <v>0.062</v>
      </c>
    </row>
    <row r="87">
      <c r="A87" s="5" t="inlineStr">
        <is>
          <t>2017-11</t>
        </is>
      </c>
      <c r="B87" s="14" t="n">
        <v>0.0611</v>
      </c>
    </row>
    <row r="88">
      <c r="A88" s="8" t="inlineStr">
        <is>
          <t>2017-12</t>
        </is>
      </c>
      <c r="B88" s="13" t="n">
        <v>0.0564</v>
      </c>
    </row>
    <row r="89">
      <c r="A89" s="5" t="inlineStr">
        <is>
          <t>2018-01</t>
        </is>
      </c>
      <c r="B89" s="14" t="n">
        <v>0.0863</v>
      </c>
    </row>
    <row r="90">
      <c r="A90" s="8" t="inlineStr">
        <is>
          <t>2018-02</t>
        </is>
      </c>
      <c r="B90" s="13" t="n">
        <v>0.0709</v>
      </c>
    </row>
    <row r="91">
      <c r="A91" s="5" t="inlineStr">
        <is>
          <t>2018-03</t>
        </is>
      </c>
      <c r="B91" s="14" t="n">
        <v>0.06280000000000001</v>
      </c>
    </row>
    <row r="92">
      <c r="A92" s="8" t="inlineStr">
        <is>
          <t>2018-04</t>
        </is>
      </c>
      <c r="B92" s="13" t="n">
        <v>0.0613</v>
      </c>
    </row>
    <row r="93">
      <c r="A93" s="5" t="inlineStr">
        <is>
          <t>2018-05</t>
        </is>
      </c>
      <c r="B93" s="14" t="n">
        <v>0.0708</v>
      </c>
    </row>
    <row r="94">
      <c r="A94" s="8" t="inlineStr">
        <is>
          <t>2018-06</t>
        </is>
      </c>
      <c r="B94" s="13" t="n">
        <v>0.06909999999999999</v>
      </c>
    </row>
    <row r="95">
      <c r="A95" s="5" t="inlineStr">
        <is>
          <t>2018-07</t>
        </is>
      </c>
      <c r="B95" s="14" t="n">
        <v>0.0737</v>
      </c>
    </row>
    <row r="96">
      <c r="A96" s="8" t="inlineStr">
        <is>
          <t>2018-08</t>
        </is>
      </c>
      <c r="B96" s="13" t="n">
        <v>0.0701</v>
      </c>
    </row>
    <row r="97">
      <c r="A97" s="5" t="inlineStr">
        <is>
          <t>2018-09</t>
        </is>
      </c>
      <c r="B97" s="14" t="n">
        <v>0.0698</v>
      </c>
    </row>
    <row r="98">
      <c r="A98" s="8" t="inlineStr">
        <is>
          <t>2018-10</t>
        </is>
      </c>
      <c r="B98" s="13" t="n">
        <v>0.07000000000000001</v>
      </c>
    </row>
    <row r="99">
      <c r="A99" s="5" t="inlineStr">
        <is>
          <t>2018-11</t>
        </is>
      </c>
      <c r="B99" s="14" t="n">
        <v>0.0704</v>
      </c>
    </row>
    <row r="100">
      <c r="A100" s="8" t="inlineStr">
        <is>
          <t>2018-12</t>
        </is>
      </c>
      <c r="B100" s="13" t="n">
        <v>0.0775</v>
      </c>
    </row>
    <row r="101">
      <c r="A101" s="5" t="inlineStr">
        <is>
          <t>2019-01</t>
        </is>
      </c>
      <c r="B101" s="14" t="n">
        <v>0.1029</v>
      </c>
    </row>
    <row r="102">
      <c r="A102" s="8" t="inlineStr">
        <is>
          <t>2019-02</t>
        </is>
      </c>
      <c r="B102" s="13" t="n">
        <v>0.1011</v>
      </c>
    </row>
    <row r="103">
      <c r="A103" s="5" t="inlineStr">
        <is>
          <t>2019-03</t>
        </is>
      </c>
      <c r="B103" s="14" t="n">
        <v>0.08599999999999999</v>
      </c>
    </row>
    <row r="104">
      <c r="A104" s="8" t="inlineStr">
        <is>
          <t>2019-04</t>
        </is>
      </c>
      <c r="B104" s="13" t="n">
        <v>0.09039999999999999</v>
      </c>
    </row>
    <row r="105">
      <c r="A105" s="5" t="inlineStr">
        <is>
          <t>2019-05</t>
        </is>
      </c>
      <c r="B105" s="14" t="n">
        <v>0.08289999999999999</v>
      </c>
    </row>
    <row r="106">
      <c r="A106" s="8" t="inlineStr">
        <is>
          <t>2019-06</t>
        </is>
      </c>
      <c r="B106" s="13" t="n">
        <v>0.0755</v>
      </c>
    </row>
    <row r="107">
      <c r="A107" s="5" t="inlineStr">
        <is>
          <t>2019-07</t>
        </is>
      </c>
      <c r="B107" s="14" t="n">
        <v>0.0747</v>
      </c>
    </row>
    <row r="108">
      <c r="A108" s="8" t="inlineStr">
        <is>
          <t>2019-08</t>
        </is>
      </c>
      <c r="B108" s="13" t="n">
        <v>0.0747</v>
      </c>
    </row>
    <row r="109">
      <c r="A109" s="5" t="inlineStr">
        <is>
          <t>2019-09</t>
        </is>
      </c>
      <c r="B109" s="14" t="n">
        <v>0.0679</v>
      </c>
    </row>
    <row r="110">
      <c r="A110" s="8" t="inlineStr">
        <is>
          <t>2019-10</t>
        </is>
      </c>
      <c r="B110" s="13" t="n">
        <v>0.0626</v>
      </c>
    </row>
    <row r="111">
      <c r="A111" s="5" t="inlineStr">
        <is>
          <t>2019-11</t>
        </is>
      </c>
      <c r="B111" s="14" t="n">
        <v>0.0588</v>
      </c>
    </row>
    <row r="112">
      <c r="A112" s="8" t="inlineStr">
        <is>
          <t>2019-12</t>
        </is>
      </c>
      <c r="B112" s="13" t="n">
        <v>0.05599999999999999</v>
      </c>
    </row>
    <row r="113">
      <c r="A113" s="5" t="inlineStr">
        <is>
          <t>2020-01</t>
        </is>
      </c>
      <c r="B113" s="14" t="n">
        <v>-0.0414</v>
      </c>
    </row>
    <row r="114">
      <c r="A114" s="8" t="inlineStr">
        <is>
          <t>2020-02</t>
        </is>
      </c>
      <c r="B114" s="13" t="n">
        <v>-0.1143</v>
      </c>
    </row>
    <row r="115">
      <c r="A115" s="5" t="inlineStr">
        <is>
          <t>2020-03</t>
        </is>
      </c>
      <c r="B115" s="14" t="n">
        <v>-0.1012</v>
      </c>
    </row>
    <row r="116">
      <c r="A116" s="8" t="inlineStr">
        <is>
          <t>2020-04</t>
        </is>
      </c>
      <c r="B116" s="13" t="n">
        <v>-0.1048</v>
      </c>
    </row>
    <row r="117">
      <c r="A117" s="5" t="inlineStr">
        <is>
          <t>2020-05</t>
        </is>
      </c>
      <c r="B117" s="14" t="n">
        <v>-0.1024</v>
      </c>
    </row>
    <row r="118">
      <c r="A118" s="8" t="inlineStr">
        <is>
          <t>2020-06</t>
        </is>
      </c>
      <c r="B118" s="13" t="n">
        <v>-0.08960000000000001</v>
      </c>
    </row>
    <row r="119">
      <c r="A119" s="5" t="inlineStr">
        <is>
          <t>2020-07</t>
        </is>
      </c>
      <c r="B119" s="14" t="n">
        <v>-0.0882</v>
      </c>
    </row>
    <row r="120">
      <c r="A120" s="8" t="inlineStr">
        <is>
          <t>2020-08</t>
        </is>
      </c>
      <c r="B120" s="13" t="n">
        <v>-0.0819</v>
      </c>
    </row>
    <row r="121">
      <c r="A121" s="5" t="inlineStr">
        <is>
          <t>2020-09</t>
        </is>
      </c>
      <c r="B121" s="14" t="n">
        <v>-0.067</v>
      </c>
    </row>
    <row r="122">
      <c r="A122" s="8" t="inlineStr">
        <is>
          <t>2020-10</t>
        </is>
      </c>
      <c r="B122" s="13" t="n">
        <v>-0.0573</v>
      </c>
    </row>
    <row r="123">
      <c r="A123" s="5" t="inlineStr">
        <is>
          <t>2020-11</t>
        </is>
      </c>
      <c r="B123" s="14" t="n">
        <v>-0.0503</v>
      </c>
    </row>
    <row r="124">
      <c r="A124" s="8" t="inlineStr">
        <is>
          <t>2020-12</t>
        </is>
      </c>
      <c r="B124" s="13" t="n">
        <v>-0.04559999999999999</v>
      </c>
    </row>
    <row r="125">
      <c r="A125" s="5" t="inlineStr">
        <is>
          <t>2021-01</t>
        </is>
      </c>
      <c r="B125" s="14" t="n">
        <v>0.0689</v>
      </c>
    </row>
    <row r="126">
      <c r="A126" s="8" t="inlineStr">
        <is>
          <t>2021-02</t>
        </is>
      </c>
      <c r="B126" s="13" t="n">
        <v>0.1397</v>
      </c>
    </row>
    <row r="127">
      <c r="A127" s="5" t="inlineStr">
        <is>
          <t>2021-03</t>
        </is>
      </c>
      <c r="B127" s="14" t="n">
        <v>0.1482</v>
      </c>
    </row>
    <row r="128">
      <c r="A128" s="8" t="inlineStr">
        <is>
          <t>2021-04</t>
        </is>
      </c>
      <c r="B128" s="13" t="n">
        <v>0.0885</v>
      </c>
    </row>
    <row r="129">
      <c r="A129" s="5" t="inlineStr">
        <is>
          <t>2021-05</t>
        </is>
      </c>
      <c r="B129" s="14" t="n">
        <v>0.0727</v>
      </c>
    </row>
    <row r="130">
      <c r="A130" s="8" t="inlineStr">
        <is>
          <t>2021-06</t>
        </is>
      </c>
      <c r="B130" s="13" t="n">
        <v>0.0629</v>
      </c>
    </row>
    <row r="131">
      <c r="A131" s="5" t="inlineStr">
        <is>
          <t>2021-07</t>
        </is>
      </c>
      <c r="B131" s="14" t="n">
        <v>0.0524</v>
      </c>
    </row>
    <row r="132">
      <c r="A132" s="8" t="inlineStr">
        <is>
          <t>2021-08</t>
        </is>
      </c>
      <c r="B132" s="13" t="n">
        <v>0.04650000000000001</v>
      </c>
    </row>
    <row r="133">
      <c r="A133" s="5" t="inlineStr">
        <is>
          <t>2021-09</t>
        </is>
      </c>
      <c r="B133" s="14" t="n">
        <v>0.0371</v>
      </c>
    </row>
    <row r="134">
      <c r="A134" s="8" t="inlineStr">
        <is>
          <t>2021-10</t>
        </is>
      </c>
      <c r="B134" s="13" t="n">
        <v>0.0268</v>
      </c>
    </row>
    <row r="135">
      <c r="A135" s="5" t="inlineStr">
        <is>
          <t>2021-11</t>
        </is>
      </c>
      <c r="B135" s="14" t="n">
        <v>0.0236</v>
      </c>
    </row>
    <row r="136">
      <c r="A136" s="8" t="inlineStr">
        <is>
          <t>2021-12</t>
        </is>
      </c>
      <c r="B136" s="13" t="n">
        <v>0.0164</v>
      </c>
    </row>
    <row r="137">
      <c r="A137" s="5" t="inlineStr">
        <is>
          <t>2022-01</t>
        </is>
      </c>
      <c r="B137" s="14" t="n">
        <v>-0.0493</v>
      </c>
    </row>
    <row r="138">
      <c r="A138" s="8" t="inlineStr">
        <is>
          <t>2022-02</t>
        </is>
      </c>
      <c r="B138" s="13" t="n">
        <v>-0.0339</v>
      </c>
    </row>
    <row r="139">
      <c r="A139" s="5" t="inlineStr">
        <is>
          <t>2022-03</t>
        </is>
      </c>
      <c r="B139" s="14" t="n">
        <v>-0.0381</v>
      </c>
    </row>
    <row r="140">
      <c r="A140" s="8" t="inlineStr">
        <is>
          <t>2022-04</t>
        </is>
      </c>
      <c r="B140" s="13" t="n">
        <v>-0.0005</v>
      </c>
    </row>
    <row r="141">
      <c r="A141" s="5" t="inlineStr">
        <is>
          <t>2022-05</t>
        </is>
      </c>
      <c r="B141" s="14" t="n">
        <v>0.012</v>
      </c>
    </row>
    <row r="142">
      <c r="A142" s="8" t="inlineStr">
        <is>
          <t>2022-06</t>
        </is>
      </c>
      <c r="B142" s="13" t="n">
        <v>0.0202</v>
      </c>
    </row>
    <row r="143">
      <c r="A143" s="5" t="inlineStr">
        <is>
          <t>2022-07</t>
        </is>
      </c>
      <c r="B143" s="14" t="n">
        <v>0.0293</v>
      </c>
    </row>
    <row r="144">
      <c r="A144" s="8" t="inlineStr">
        <is>
          <t>2022-08</t>
        </is>
      </c>
      <c r="B144" s="13" t="n">
        <v>0.0384</v>
      </c>
    </row>
    <row r="145">
      <c r="A145" s="5" t="inlineStr">
        <is>
          <t>2022-09</t>
        </is>
      </c>
      <c r="B145" s="14" t="n">
        <v>0.0385</v>
      </c>
    </row>
    <row r="146">
      <c r="A146" s="8" t="inlineStr">
        <is>
          <t>2022-10</t>
        </is>
      </c>
      <c r="B146" s="13" t="n">
        <v>0.04</v>
      </c>
    </row>
    <row r="147">
      <c r="A147" s="5" t="inlineStr">
        <is>
          <t>2022-11</t>
        </is>
      </c>
      <c r="B147" s="14" t="n">
        <v>0.0421</v>
      </c>
    </row>
    <row r="148">
      <c r="A148" s="8" t="inlineStr">
        <is>
          <t>2022-12</t>
        </is>
      </c>
      <c r="B148" s="13" t="n">
        <v>0.0503</v>
      </c>
    </row>
    <row r="149">
      <c r="A149" s="5" t="inlineStr">
        <is>
          <t>2023-01</t>
        </is>
      </c>
      <c r="B149" s="14" t="n">
        <v>0.107</v>
      </c>
    </row>
    <row r="150">
      <c r="A150" s="8" t="inlineStr">
        <is>
          <t>2023-02</t>
        </is>
      </c>
      <c r="B150" s="13" t="n">
        <v>0.08710000000000001</v>
      </c>
    </row>
    <row r="151">
      <c r="A151" s="5" t="inlineStr">
        <is>
          <t>2023-03</t>
        </is>
      </c>
      <c r="B151" s="14" t="n">
        <v>0.07969999999999999</v>
      </c>
    </row>
    <row r="152">
      <c r="A152" s="8" t="inlineStr">
        <is>
          <t>2023-04</t>
        </is>
      </c>
      <c r="B152" s="13" t="n">
        <v>0.06900000000000001</v>
      </c>
    </row>
    <row r="153">
      <c r="A153" s="5" t="inlineStr">
        <is>
          <t>2023-05</t>
        </is>
      </c>
      <c r="B153" s="14" t="n">
        <v>0.06809999999999999</v>
      </c>
    </row>
    <row r="154">
      <c r="A154" s="8" t="inlineStr">
        <is>
          <t>2023-06</t>
        </is>
      </c>
      <c r="B154" s="13" t="n">
        <v>0.06660000000000001</v>
      </c>
    </row>
    <row r="155">
      <c r="A155" s="5" t="inlineStr">
        <is>
          <t>2023-07</t>
        </is>
      </c>
      <c r="B155" s="14" t="n">
        <v>0.0687</v>
      </c>
    </row>
    <row r="156">
      <c r="A156" s="8" t="inlineStr">
        <is>
          <t>2023-08</t>
        </is>
      </c>
      <c r="B156" s="13" t="n">
        <v>0.07240000000000001</v>
      </c>
    </row>
    <row r="157">
      <c r="A157" s="5" t="inlineStr">
        <is>
          <t>2023-09</t>
        </is>
      </c>
      <c r="B157" s="14" t="n">
        <v>0.0722</v>
      </c>
    </row>
    <row r="158">
      <c r="A158" s="8" t="inlineStr">
        <is>
          <t>2023-10</t>
        </is>
      </c>
      <c r="B158" s="13" t="n">
        <v>0.0728</v>
      </c>
    </row>
    <row r="159">
      <c r="A159" s="5" t="inlineStr">
        <is>
          <t>2023-11</t>
        </is>
      </c>
      <c r="B159" s="14" t="n">
        <v>0.073</v>
      </c>
    </row>
    <row r="160">
      <c r="A160" s="8" t="inlineStr">
        <is>
          <t>2023-12</t>
        </is>
      </c>
      <c r="B160" s="13" t="n">
        <v>0.0742</v>
      </c>
    </row>
    <row r="161">
      <c r="A161" s="5" t="inlineStr">
        <is>
          <t>2024-01</t>
        </is>
      </c>
      <c r="B161" s="14" t="n">
        <v>0.0852</v>
      </c>
    </row>
    <row r="162">
      <c r="A162" s="8" t="inlineStr">
        <is>
          <t>2024-02</t>
        </is>
      </c>
      <c r="B162" s="13" t="n">
        <v>0.081</v>
      </c>
    </row>
    <row r="163">
      <c r="A163" s="5" t="inlineStr">
        <is>
          <t>2024-03</t>
        </is>
      </c>
      <c r="B163" s="14" t="n">
        <v>0.08070000000000001</v>
      </c>
    </row>
    <row r="164">
      <c r="A164" s="8" t="inlineStr">
        <is>
          <t>2024-04</t>
        </is>
      </c>
      <c r="B164" s="13" t="n">
        <v>0.0591</v>
      </c>
    </row>
    <row r="165">
      <c r="A165" s="5" t="inlineStr">
        <is>
          <t>2024-05</t>
        </is>
      </c>
      <c r="B165" s="14" t="n">
        <v>0.055</v>
      </c>
    </row>
    <row r="166">
      <c r="A166" s="8" t="inlineStr">
        <is>
          <t>2024-06</t>
        </is>
      </c>
      <c r="B166" s="13" t="n">
        <v>0.0575</v>
      </c>
    </row>
    <row r="167">
      <c r="A167" s="5" t="inlineStr">
        <is>
          <t>2024-07</t>
        </is>
      </c>
      <c r="B167" s="14" t="n">
        <v>0.0607</v>
      </c>
    </row>
    <row r="168">
      <c r="A168" s="8" t="inlineStr">
        <is>
          <t>2024-08</t>
        </is>
      </c>
      <c r="B168" s="13" t="n">
        <v>0.0588</v>
      </c>
    </row>
    <row r="169">
      <c r="A169" s="5" t="inlineStr">
        <is>
          <t>2024-09</t>
        </is>
      </c>
      <c r="B169" s="14" t="n">
        <v>0.0524</v>
      </c>
    </row>
    <row r="170">
      <c r="A170" s="8" t="inlineStr">
        <is>
          <t>2024-10</t>
        </is>
      </c>
      <c r="B170" s="13" t="n">
        <v>0.0491</v>
      </c>
    </row>
    <row r="171">
      <c r="A171" s="5" t="inlineStr">
        <is>
          <t>2024-11</t>
        </is>
      </c>
      <c r="B171" s="14" t="n">
        <v>0.0471</v>
      </c>
    </row>
    <row r="172">
      <c r="A172" s="8" t="inlineStr">
        <is>
          <t>2024-12</t>
        </is>
      </c>
      <c r="B172" s="13" t="n">
        <v>0.0512</v>
      </c>
    </row>
    <row r="173">
      <c r="A173" s="5" t="inlineStr">
        <is>
          <t>2025-01</t>
        </is>
      </c>
      <c r="B173" s="14" t="n">
        <v>0.0242</v>
      </c>
    </row>
    <row r="174">
      <c r="A174" s="8" t="inlineStr">
        <is>
          <t>2025-02</t>
        </is>
      </c>
      <c r="B174" s="13" t="n">
        <v>0.0327</v>
      </c>
    </row>
    <row r="175">
      <c r="A175" s="5" t="inlineStr">
        <is>
          <t>2025-03</t>
        </is>
      </c>
      <c r="B175" s="14" t="n">
        <v>0.0264</v>
      </c>
    </row>
    <row r="176">
      <c r="A176" s="8" t="inlineStr">
        <is>
          <t>2025-04</t>
        </is>
      </c>
      <c r="B176" s="13" t="n">
        <v>0.0539</v>
      </c>
    </row>
    <row r="177">
      <c r="A177" s="5" t="inlineStr">
        <is>
          <t>2025-05</t>
        </is>
      </c>
      <c r="B177" s="14" t="n">
        <v>0.05769999999999999</v>
      </c>
    </row>
    <row r="178">
      <c r="A178" s="8" t="inlineStr">
        <is>
          <t>2025-06</t>
        </is>
      </c>
      <c r="B178" s="13" t="n">
        <v>0.0562</v>
      </c>
    </row>
    <row r="179">
      <c r="A179" s="5" t="inlineStr">
        <is>
          <t>2025-07</t>
        </is>
      </c>
      <c r="B179" s="14" t="n">
        <v>0.0559</v>
      </c>
    </row>
    <row r="180">
      <c r="A180" s="8" t="inlineStr">
        <is>
          <t>2025-08</t>
        </is>
      </c>
      <c r="B180" s="13" t="n">
        <v>0.0582</v>
      </c>
    </row>
    <row r="181">
      <c r="A181" s="5" t="inlineStr">
        <is>
          <t>2025-09</t>
        </is>
      </c>
      <c r="B181" s="14" t="n">
        <v>0.0594</v>
      </c>
    </row>
    <row r="182">
      <c r="A182" s="8" t="inlineStr">
        <is>
          <t>2025-10</t>
        </is>
      </c>
      <c r="B182" s="13" t="n">
        <v>0.0604</v>
      </c>
    </row>
    <row r="183">
      <c r="A183" s="5" t="inlineStr">
        <is>
          <t>2025-11</t>
        </is>
      </c>
      <c r="B183" s="14" t="n">
        <v>0.0644</v>
      </c>
    </row>
    <row r="184">
      <c r="A184" s="8" t="inlineStr">
        <is>
          <t>2025-12</t>
        </is>
      </c>
      <c r="B184" s="13" t="n">
        <v>0.0684</v>
      </c>
    </row>
    <row r="185">
      <c r="A185" s="5" t="inlineStr">
        <is>
          <t>2026-01</t>
        </is>
      </c>
      <c r="B185" s="14" t="n">
        <v>0.08560000000000001</v>
      </c>
    </row>
    <row r="186">
      <c r="A186" s="8" t="inlineStr">
        <is>
          <t>2026-02</t>
        </is>
      </c>
      <c r="B186" s="13" t="n">
        <v>0.0759</v>
      </c>
    </row>
    <row r="187">
      <c r="A187" s="5" t="inlineStr">
        <is>
          <t>2026-03</t>
        </is>
      </c>
      <c r="B187" s="14" t="n">
        <v>0.07870000000000001</v>
      </c>
    </row>
    <row r="188">
      <c r="A188" s="8" t="inlineStr">
        <is>
          <t>2026-04</t>
        </is>
      </c>
      <c r="B188" s="13" t="n">
        <v>0.0784</v>
      </c>
    </row>
    <row r="189">
      <c r="A189" s="5" t="inlineStr">
        <is>
          <t>2026-05</t>
        </is>
      </c>
      <c r="B189" s="14" t="n">
        <v>0.0732</v>
      </c>
    </row>
    <row r="192">
      <c r="A192" s="23" t="inlineStr">
        <is>
          <t>Салбаруудын хувь нэмэр (MIEG sector contributions, pp, 2026-05)</t>
        </is>
      </c>
    </row>
    <row r="193">
      <c r="A193" s="3" t="inlineStr">
        <is>
          <t>Салбар (Sector)</t>
        </is>
      </c>
      <c r="B193" s="3" t="inlineStr">
        <is>
          <t>Хувь нэмэр (pp)</t>
        </is>
      </c>
    </row>
    <row r="194">
      <c r="A194" s="5" t="inlineStr">
        <is>
          <t>Хөдөө аж ахуй</t>
        </is>
      </c>
      <c r="B194" s="25" t="n">
        <v>1.52</v>
      </c>
    </row>
    <row r="195">
      <c r="A195" s="8" t="inlineStr">
        <is>
          <t>Уул уурхай, олборлолт</t>
        </is>
      </c>
      <c r="B195" s="26" t="n">
        <v>3.71</v>
      </c>
    </row>
    <row r="196">
      <c r="A196" s="5" t="inlineStr">
        <is>
          <t>Аж үйлдвэр, барилга</t>
        </is>
      </c>
      <c r="B196" s="25" t="n">
        <v>0.27</v>
      </c>
    </row>
    <row r="197">
      <c r="A197" s="8" t="inlineStr">
        <is>
          <t>Үйлчилгээ</t>
        </is>
      </c>
      <c r="B197" s="26" t="n">
        <v>1.91</v>
      </c>
    </row>
    <row r="198">
      <c r="A198" s="5" t="inlineStr">
        <is>
          <t>Бүтээгдэхүүний цэвэр татвар</t>
        </is>
      </c>
      <c r="B198" s="25" t="n">
        <v>-0.09</v>
      </c>
    </row>
    <row r="199">
      <c r="A199" s="4" t="inlineStr">
        <is>
          <t>Нийт (Total, pp)</t>
        </is>
      </c>
      <c r="B199" s="27">
        <f>SUM(B194:B198)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s>
  <sheetData>
    <row r="1">
      <c r="A1" s="1" t="inlineStr">
        <is>
          <t>Sector contributions to real GDP growth (pp)</t>
        </is>
      </c>
    </row>
    <row r="2">
      <c r="A2" s="2" t="inlineStr">
        <is>
          <t>Deck slide 5. Contribution = Δsector real value added / prior-period total GDP (computed upstream from NSO levels). Total row is a SUM formula and must equal GDP growth.</t>
        </is>
      </c>
    </row>
    <row r="4">
      <c r="A4" s="6" t="inlineStr">
        <is>
          <t>МЭДЭЭЛЛИЙН ОН САР / DATA AS OF:  NSO national accounts — 2026-Q2 (QUARTERLY)      [тайлант үе / reported month: 2026-07]</t>
        </is>
      </c>
    </row>
    <row r="6">
      <c r="A6" s="3" t="inlineStr">
        <is>
          <t>Салбар (Sector)</t>
        </is>
      </c>
      <c r="B6" s="3" t="inlineStr">
        <is>
          <t>2025 (I-XII)</t>
        </is>
      </c>
      <c r="C6" s="3" t="inlineStr">
        <is>
          <t>2026 (I-VI)</t>
        </is>
      </c>
    </row>
    <row r="7">
      <c r="A7" s="5" t="inlineStr">
        <is>
          <t>Хөдөө аж ахуй, ойн аж ахуй, загас барилт, ан агнуур (Agriculture, forestry, fishing &amp; hunting)</t>
        </is>
      </c>
      <c r="B7" s="25" t="n">
        <v>2.86</v>
      </c>
      <c r="C7" s="25" t="n">
        <v>1.45</v>
      </c>
    </row>
    <row r="8">
      <c r="A8" s="8" t="inlineStr">
        <is>
          <t>Уул уурхай, олборлолт (Mining &amp; quarrying)</t>
        </is>
      </c>
      <c r="B8" s="26" t="n">
        <v>1.41</v>
      </c>
      <c r="C8" s="26" t="n">
        <v>3.91</v>
      </c>
    </row>
    <row r="9">
      <c r="A9" s="5" t="inlineStr">
        <is>
          <t>Боловсруулах үйлдвэрлэл (Manufacturing)</t>
        </is>
      </c>
      <c r="B9" s="25" t="n">
        <v>0.74</v>
      </c>
      <c r="C9" s="25" t="n">
        <v>0.07000000000000001</v>
      </c>
    </row>
    <row r="10">
      <c r="A10" s="8" t="inlineStr">
        <is>
          <t>Цахилгаан, хий, уур, агааржуулалт (Electricity, gas, steam &amp; air conditioning)</t>
        </is>
      </c>
      <c r="B10" s="26" t="n">
        <v>0.25</v>
      </c>
      <c r="C10" s="26" t="n">
        <v>0.23</v>
      </c>
    </row>
    <row r="11">
      <c r="A11" s="5" t="inlineStr">
        <is>
          <t>Барилга (Construction)</t>
        </is>
      </c>
      <c r="B11" s="25" t="n">
        <v>0.52</v>
      </c>
      <c r="C11" s="25" t="n">
        <v>0.16</v>
      </c>
    </row>
    <row r="12">
      <c r="A12" s="8" t="inlineStr">
        <is>
          <t>Бөөний болон жижиглэн худалдаа, машин, мотоциклийн засвар, үйлчилгээ (Wholesale &amp; retail trade; vehicle repair)</t>
        </is>
      </c>
      <c r="B12" s="26" t="n">
        <v>-0.55</v>
      </c>
      <c r="C12" s="26" t="n">
        <v>-0.02</v>
      </c>
    </row>
    <row r="13">
      <c r="A13" s="5" t="inlineStr">
        <is>
          <t>Тээвэр ба агуулахын үйл ажиллагаа (Transportation &amp; storage)</t>
        </is>
      </c>
      <c r="B13" s="25" t="n">
        <v>0.31</v>
      </c>
      <c r="C13" s="25" t="n">
        <v>0.82</v>
      </c>
    </row>
    <row r="14">
      <c r="A14" s="8" t="inlineStr">
        <is>
          <t>Мэдээлэл, холбоо (Information &amp; communication)</t>
        </is>
      </c>
      <c r="B14" s="26" t="n">
        <v>0.24</v>
      </c>
      <c r="C14" s="26" t="n">
        <v>0.25</v>
      </c>
    </row>
    <row r="15">
      <c r="A15" s="5" t="inlineStr">
        <is>
          <t>Үйлчилгээний бусад үйл ажиллагаа (Other service activities)</t>
        </is>
      </c>
      <c r="B15" s="25" t="n">
        <v>1.03</v>
      </c>
      <c r="C15" s="25" t="n">
        <v>0.76</v>
      </c>
    </row>
    <row r="16">
      <c r="A16" s="8" t="inlineStr">
        <is>
          <t>Бүтээгдэхүүний цэвэр татвар (Net taxes on products)</t>
        </is>
      </c>
      <c r="B16" s="26" t="n">
        <v>0.04</v>
      </c>
      <c r="C16" s="26" t="n">
        <v>0.05</v>
      </c>
    </row>
    <row r="17">
      <c r="A17" s="4" t="inlineStr">
        <is>
          <t>Нийт (Total = GDP growth, pp)</t>
        </is>
      </c>
      <c r="B17" s="27">
        <f>SUM(B7:B16)</f>
        <v/>
      </c>
      <c r="C17" s="27">
        <f>SUM(C7:C16)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
  <sheetViews>
    <sheetView workbookViewId="0">
      <pane ySplit="3" topLeftCell="A4" activePane="bottomLeft" state="frozen"/>
      <selection pane="bottomLeft"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6" customWidth="1" min="6" max="6"/>
    <col width="12" customWidth="1" min="7" max="7"/>
    <col width="20" customWidth="1" min="8" max="8"/>
    <col width="12" customWidth="1" min="9" max="9"/>
    <col width="14" customWidth="1" min="10" max="10"/>
  </cols>
  <sheetData>
    <row r="1">
      <c r="A1" s="1" t="inlineStr">
        <is>
          <t>Inflation</t>
        </is>
      </c>
    </row>
    <row r="2">
      <c r="A2" s="2" t="inlineStr">
        <is>
          <t>Deck slides 6-7. Headline from the Mongolbank statistical bulletin; the 12-month CPI series requires the NSO CPI table id (see raw_ingestor.py NSO_TABLES). Values stored as fractions, shown as % via number format.</t>
        </is>
      </c>
    </row>
    <row r="4">
      <c r="A4" s="6" t="inlineStr">
        <is>
          <t>МЭДЭЭЛЛИЙН ОН САР / DATA AS OF:  Mongolbank bulletin — 2026-07 (CURRENT)      [тайлант үе / reported month: 2026-07]</t>
        </is>
      </c>
    </row>
    <row r="6">
      <c r="A6" s="3" t="inlineStr">
        <is>
          <t>Үзүүлэлт (Indicator)</t>
        </is>
      </c>
      <c r="B6" s="3" t="inlineStr">
        <is>
          <t>Утга (Value)</t>
        </is>
      </c>
      <c r="C6" s="3" t="inlineStr">
        <is>
          <t>Note</t>
        </is>
      </c>
    </row>
    <row r="7">
      <c r="A7" s="4" t="inlineStr">
        <is>
          <t>Инфляц (Headline inflation, YoY)</t>
        </is>
      </c>
      <c r="B7" s="14" t="n">
        <v>0.13</v>
      </c>
      <c r="C7" s="5" t="inlineStr">
        <is>
          <t>Mongolbank bulletin (mongolbank_bulletin.xlsx, period 2026-07)</t>
        </is>
      </c>
    </row>
    <row r="8">
      <c r="A8" s="4" t="inlineStr">
        <is>
          <t>Монголбанкны зорилт (Mongolbank target)</t>
        </is>
      </c>
      <c r="B8" s="14" t="n">
        <v>0.08</v>
      </c>
      <c r="C8" s="5" t="inlineStr">
        <is>
          <t>official target</t>
        </is>
      </c>
    </row>
    <row r="9">
      <c r="A9" s="4" t="inlineStr">
        <is>
          <t>Зорилтоос зөрүү (Gap vs target)</t>
        </is>
      </c>
      <c r="B9" s="14">
        <f>B7-B8</f>
        <v/>
      </c>
      <c r="C9" s="5" t="inlineStr">
        <is>
          <t>formula: headline - target; positive = above target</t>
        </is>
      </c>
    </row>
    <row r="10">
      <c r="A10" s="4" t="inlineStr">
        <is>
          <t>Махны хувь нэмэр (Meat contribution)</t>
        </is>
      </c>
      <c r="B10" s="5" t="inlineStr">
        <is>
          <t>n/a</t>
        </is>
      </c>
      <c r="C10" s="5" t="inlineStr">
        <is>
          <t>pp of headline, when stated in the source</t>
        </is>
      </c>
    </row>
    <row r="11">
      <c r="A11" s="4" t="inlineStr">
        <is>
          <t>Бодлогын хүү (Policy rate)</t>
        </is>
      </c>
      <c r="B11" s="14" t="n">
        <v>0.12</v>
      </c>
      <c r="C11" s="5" t="inlineStr">
        <is>
          <t>MB bulletin, Rate sheet</t>
        </is>
      </c>
    </row>
    <row r="12">
      <c r="A12" s="4" t="inlineStr">
        <is>
          <t>Махны үнийн өсөлт (Meat price growth, YoY)</t>
        </is>
      </c>
      <c r="B12" s="28" t="n"/>
      <c r="C12" s="5" t="inlineStr">
        <is>
          <t>MANUAL entry (slide 7) -- CPI PDF automation dropped by design; type the value from the NSO CPI presentation here</t>
        </is>
      </c>
    </row>
    <row r="13">
      <c r="A13" s="4" t="inlineStr">
        <is>
          <t>Шатахууны үнийн өсөлт (Fuel price growth, YoY)</t>
        </is>
      </c>
      <c r="B13" s="28" t="n"/>
      <c r="C13" s="5" t="inlineStr">
        <is>
          <t>MANUAL entry (slide 7) -- CPI PDF automation dropped by design; type the value from the NSO CPI presentation here</t>
        </is>
      </c>
    </row>
    <row r="16">
      <c r="A16" s="23" t="inlineStr">
        <is>
          <t>Сарын цуваа (Monthly series, Mongolbank bulletin) — slides 6 &amp; 8</t>
        </is>
      </c>
    </row>
    <row r="17">
      <c r="A17" s="3" t="inlineStr">
        <is>
          <t>Сар (Month)</t>
        </is>
      </c>
      <c r="B17" s="3" t="inlineStr">
        <is>
          <t>Инфляц, улс (CPI YoY, national)</t>
        </is>
      </c>
      <c r="C17" s="3" t="inlineStr">
        <is>
          <t>Инфляц, УБ (CPI YoY, UB)</t>
        </is>
      </c>
      <c r="D17" s="3" t="inlineStr">
        <is>
          <t>Зорилт (Target)</t>
        </is>
      </c>
      <c r="E17" s="3" t="inlineStr">
        <is>
          <t>Бодлогын хүү (Policy rate)</t>
        </is>
      </c>
      <c r="F17" s="3" t="inlineStr">
        <is>
          <t>Хадгаламжийн хүү (Deposit rate, new MNT)</t>
        </is>
      </c>
      <c r="G17" s="3" t="inlineStr">
        <is>
          <t>Шинэ зээлийн хүү, зах зээлийн (New loan rate, market)</t>
        </is>
      </c>
      <c r="H17" s="3" t="inlineStr">
        <is>
          <t>Шинэ зээлийн хүү, хөтөлбөрийн зээл оруулснаар (incl. subsidised)</t>
        </is>
      </c>
      <c r="I17" s="3" t="inlineStr">
        <is>
          <t>Зөрүү (Gap, pp)</t>
        </is>
      </c>
      <c r="J17" s="3" t="inlineStr">
        <is>
          <t>Ам.долларын ханш (USD/MNT, eop)</t>
        </is>
      </c>
    </row>
    <row r="18">
      <c r="A18" s="5" t="inlineStr">
        <is>
          <t>2025-04</t>
        </is>
      </c>
      <c r="B18" s="14" t="n">
        <v>0.08699999999999999</v>
      </c>
      <c r="C18" s="14" t="n">
        <v>0.099</v>
      </c>
      <c r="D18" s="14" t="n">
        <v>0.08</v>
      </c>
      <c r="E18" s="14" t="n">
        <v>0.12</v>
      </c>
      <c r="F18" s="14" t="n">
        <v>0.1199</v>
      </c>
      <c r="G18" s="14" t="n">
        <v>0.172</v>
      </c>
      <c r="H18" s="14" t="n">
        <v>0.1662</v>
      </c>
      <c r="I18" s="25">
        <f>IFERROR((G18-H18)*100,"")</f>
        <v/>
      </c>
      <c r="J18" s="16" t="n">
        <v>3570.82</v>
      </c>
    </row>
    <row r="19">
      <c r="A19" s="8" t="inlineStr">
        <is>
          <t>2025-05</t>
        </is>
      </c>
      <c r="B19" s="13" t="n">
        <v>0.083</v>
      </c>
      <c r="C19" s="13" t="n">
        <v>0.094</v>
      </c>
      <c r="D19" s="13" t="n">
        <v>0.08</v>
      </c>
      <c r="E19" s="13" t="n">
        <v>0.12</v>
      </c>
      <c r="F19" s="13" t="n">
        <v>0.1188</v>
      </c>
      <c r="G19" s="13" t="n">
        <v>0.1718</v>
      </c>
      <c r="H19" s="13" t="n">
        <v>0.1656</v>
      </c>
      <c r="I19" s="26">
        <f>IFERROR((G19-H19)*100,"")</f>
        <v/>
      </c>
      <c r="J19" s="15" t="n">
        <v>3573.95</v>
      </c>
    </row>
    <row r="20">
      <c r="A20" s="5" t="inlineStr">
        <is>
          <t>2025-06</t>
        </is>
      </c>
      <c r="B20" s="14" t="n">
        <v>0.08199999999999999</v>
      </c>
      <c r="C20" s="14" t="n">
        <v>0.094</v>
      </c>
      <c r="D20" s="14" t="n">
        <v>0.08</v>
      </c>
      <c r="E20" s="14" t="n">
        <v>0.12</v>
      </c>
      <c r="F20" s="14" t="n">
        <v>0.1159</v>
      </c>
      <c r="G20" s="14" t="n">
        <v>0.1727</v>
      </c>
      <c r="H20" s="14" t="n">
        <v>0.1681</v>
      </c>
      <c r="I20" s="25">
        <f>IFERROR((G20-H20)*100,"")</f>
        <v/>
      </c>
      <c r="J20" s="16" t="n">
        <v>3580.94</v>
      </c>
    </row>
    <row r="21">
      <c r="A21" s="8" t="inlineStr">
        <is>
          <t>2025-07</t>
        </is>
      </c>
      <c r="B21" s="13" t="n">
        <v>0.081</v>
      </c>
      <c r="C21" s="13" t="n">
        <v>0.09300000000000001</v>
      </c>
      <c r="D21" s="13" t="n">
        <v>0.08</v>
      </c>
      <c r="E21" s="13" t="n">
        <v>0.12</v>
      </c>
      <c r="F21" s="13" t="n">
        <v>0.114</v>
      </c>
      <c r="G21" s="13" t="n">
        <v>0.171</v>
      </c>
      <c r="H21" s="13" t="n">
        <v>0.1687</v>
      </c>
      <c r="I21" s="26">
        <f>IFERROR((G21-H21)*100,"")</f>
        <v/>
      </c>
      <c r="J21" s="15" t="n">
        <v>3587.49</v>
      </c>
    </row>
    <row r="22">
      <c r="A22" s="5" t="inlineStr">
        <is>
          <t>2025-08</t>
        </is>
      </c>
      <c r="B22" s="14" t="n">
        <v>0.08800000000000001</v>
      </c>
      <c r="C22" s="14" t="n">
        <v>0.098</v>
      </c>
      <c r="D22" s="14" t="n">
        <v>0.08</v>
      </c>
      <c r="E22" s="14" t="n">
        <v>0.12</v>
      </c>
      <c r="F22" s="14" t="n">
        <v>0.1172</v>
      </c>
      <c r="G22" s="14" t="n">
        <v>0.1703</v>
      </c>
      <c r="H22" s="14" t="n">
        <v>0.168</v>
      </c>
      <c r="I22" s="25">
        <f>IFERROR((G22-H22)*100,"")</f>
        <v/>
      </c>
      <c r="J22" s="16" t="n">
        <v>3592.79</v>
      </c>
    </row>
    <row r="23">
      <c r="A23" s="8" t="inlineStr">
        <is>
          <t>2025-09</t>
        </is>
      </c>
      <c r="B23" s="13" t="n">
        <v>0.09</v>
      </c>
      <c r="C23" s="13" t="n">
        <v>0.099</v>
      </c>
      <c r="D23" s="13" t="n">
        <v>0.08</v>
      </c>
      <c r="E23" s="13" t="n">
        <v>0.12</v>
      </c>
      <c r="F23" s="13" t="n">
        <v>0.1187</v>
      </c>
      <c r="G23" s="13" t="n">
        <v>0.1726</v>
      </c>
      <c r="H23" s="13" t="n">
        <v>0.1692</v>
      </c>
      <c r="I23" s="26">
        <f>IFERROR((G23-H23)*100,"")</f>
        <v/>
      </c>
      <c r="J23" s="15" t="n">
        <v>3592.78</v>
      </c>
    </row>
    <row r="24">
      <c r="A24" s="5" t="inlineStr">
        <is>
          <t>2025-10</t>
        </is>
      </c>
      <c r="B24" s="14" t="n">
        <v>0.092</v>
      </c>
      <c r="C24" s="14" t="n">
        <v>0.099</v>
      </c>
      <c r="D24" s="14" t="n">
        <v>0.08</v>
      </c>
      <c r="E24" s="14" t="n">
        <v>0.12</v>
      </c>
      <c r="F24" s="14" t="n">
        <v>0.1228</v>
      </c>
      <c r="G24" s="14" t="n">
        <v>0.1736</v>
      </c>
      <c r="H24" s="14" t="n">
        <v>0.1697</v>
      </c>
      <c r="I24" s="25">
        <f>IFERROR((G24-H24)*100,"")</f>
        <v/>
      </c>
      <c r="J24" s="16" t="n">
        <v>3585.29</v>
      </c>
    </row>
    <row r="25">
      <c r="A25" s="8" t="inlineStr">
        <is>
          <t>2025-11</t>
        </is>
      </c>
      <c r="B25" s="13" t="n">
        <v>0.08199999999999999</v>
      </c>
      <c r="C25" s="13" t="n">
        <v>0.08699999999999999</v>
      </c>
      <c r="D25" s="13" t="n">
        <v>0.08</v>
      </c>
      <c r="E25" s="13" t="n">
        <v>0.12</v>
      </c>
      <c r="F25" s="13" t="n">
        <v>0.117</v>
      </c>
      <c r="G25" s="13" t="n">
        <v>0.1734</v>
      </c>
      <c r="H25" s="13" t="n">
        <v>0.1697</v>
      </c>
      <c r="I25" s="26">
        <f>IFERROR((G25-H25)*100,"")</f>
        <v/>
      </c>
      <c r="J25" s="15" t="n">
        <v>3553.58</v>
      </c>
    </row>
    <row r="26">
      <c r="A26" s="5" t="inlineStr">
        <is>
          <t>2025-12</t>
        </is>
      </c>
      <c r="B26" s="14" t="n">
        <v>0.075</v>
      </c>
      <c r="C26" s="14" t="n">
        <v>0.076</v>
      </c>
      <c r="D26" s="14" t="n">
        <v>0.08</v>
      </c>
      <c r="E26" s="14" t="n">
        <v>0.12</v>
      </c>
      <c r="F26" s="14" t="n">
        <v>0.1203</v>
      </c>
      <c r="G26" s="14" t="n">
        <v>0.1727</v>
      </c>
      <c r="H26" s="14" t="n">
        <v>0.1674</v>
      </c>
      <c r="I26" s="25">
        <f>IFERROR((G26-H26)*100,"")</f>
        <v/>
      </c>
      <c r="J26" s="16" t="n">
        <v>3556.81</v>
      </c>
    </row>
    <row r="27">
      <c r="A27" s="8" t="inlineStr">
        <is>
          <t>2026-01</t>
        </is>
      </c>
      <c r="B27" s="13" t="n">
        <v>0.075</v>
      </c>
      <c r="C27" s="13" t="n">
        <v>0.075</v>
      </c>
      <c r="D27" s="13" t="n">
        <v>0.08</v>
      </c>
      <c r="E27" s="13" t="n">
        <v>0.12</v>
      </c>
      <c r="F27" s="13" t="n">
        <v>0.1174</v>
      </c>
      <c r="G27" s="13" t="n">
        <v>0.1713</v>
      </c>
      <c r="H27" s="13" t="n">
        <v>0.1698</v>
      </c>
      <c r="I27" s="26">
        <f>IFERROR((G27-H27)*100,"")</f>
        <v/>
      </c>
      <c r="J27" s="15" t="n">
        <v>3564.08</v>
      </c>
    </row>
    <row r="28">
      <c r="A28" s="5" t="inlineStr">
        <is>
          <t>2026-02</t>
        </is>
      </c>
      <c r="B28" s="14" t="n">
        <v>0.065</v>
      </c>
      <c r="C28" s="14" t="n">
        <v>0.06</v>
      </c>
      <c r="D28" s="14" t="n">
        <v>0.08</v>
      </c>
      <c r="E28" s="14" t="n">
        <v>0.12</v>
      </c>
      <c r="F28" s="14" t="n">
        <v>0.1184</v>
      </c>
      <c r="G28" s="14" t="n">
        <v>0.1726</v>
      </c>
      <c r="H28" s="14" t="n">
        <v>0.1709</v>
      </c>
      <c r="I28" s="25">
        <f>IFERROR((G28-H28)*100,"")</f>
        <v/>
      </c>
      <c r="J28" s="16" t="n">
        <v>3565.55</v>
      </c>
    </row>
    <row r="29">
      <c r="A29" s="8" t="inlineStr">
        <is>
          <t>2026-03</t>
        </is>
      </c>
      <c r="B29" s="13" t="n">
        <v>0.07400000000000001</v>
      </c>
      <c r="C29" s="13" t="n">
        <v>0.073</v>
      </c>
      <c r="D29" s="13" t="n">
        <v>0.08</v>
      </c>
      <c r="E29" s="13" t="n">
        <v>0.12</v>
      </c>
      <c r="F29" s="13" t="n">
        <v>0.1184</v>
      </c>
      <c r="G29" s="13" t="n">
        <v>0.1759</v>
      </c>
      <c r="H29" s="13" t="n">
        <v>0.1737</v>
      </c>
      <c r="I29" s="26">
        <f>IFERROR((G29-H29)*100,"")</f>
        <v/>
      </c>
      <c r="J29" s="15" t="n">
        <v>3568.71</v>
      </c>
    </row>
    <row r="30">
      <c r="A30" s="5" t="inlineStr">
        <is>
          <t>2026-04</t>
        </is>
      </c>
      <c r="B30" s="14" t="n">
        <v>0.101</v>
      </c>
      <c r="C30" s="14" t="n">
        <v>0.101</v>
      </c>
      <c r="D30" s="14" t="n">
        <v>0.08</v>
      </c>
      <c r="E30" s="14" t="n">
        <v>0.12</v>
      </c>
      <c r="F30" s="14" t="n">
        <v>0.1188</v>
      </c>
      <c r="G30" s="14" t="n">
        <v>0.1753</v>
      </c>
      <c r="H30" s="14" t="n">
        <v>0.1711</v>
      </c>
      <c r="I30" s="25">
        <f>IFERROR((G30-H30)*100,"")</f>
        <v/>
      </c>
      <c r="J30" s="16" t="n">
        <v>3576.22</v>
      </c>
    </row>
    <row r="31">
      <c r="A31" s="8" t="inlineStr">
        <is>
          <t>2026-05</t>
        </is>
      </c>
      <c r="B31" s="13" t="n">
        <v>0.112</v>
      </c>
      <c r="C31" s="13" t="n">
        <v>0.11</v>
      </c>
      <c r="D31" s="13" t="n">
        <v>0.08</v>
      </c>
      <c r="E31" s="13" t="n">
        <v>0.12</v>
      </c>
      <c r="F31" s="13" t="n">
        <v>0.1175</v>
      </c>
      <c r="G31" s="13" t="n">
        <v>0.175</v>
      </c>
      <c r="H31" s="13" t="n">
        <v>0.1718</v>
      </c>
      <c r="I31" s="26">
        <f>IFERROR((G31-H31)*100,"")</f>
        <v/>
      </c>
      <c r="J31" s="15" t="n">
        <v>3575.93</v>
      </c>
    </row>
    <row r="32">
      <c r="A32" s="5" t="inlineStr">
        <is>
          <t>2026-06</t>
        </is>
      </c>
      <c r="B32" s="14" t="n">
        <v>0.12</v>
      </c>
      <c r="C32" s="14" t="n">
        <v>0.123</v>
      </c>
      <c r="D32" s="14" t="n">
        <v>0.08</v>
      </c>
      <c r="E32" s="14" t="n">
        <v>0.12</v>
      </c>
      <c r="F32" s="14" t="n">
        <v>0.1107</v>
      </c>
      <c r="G32" s="14" t="n">
        <v>0.1759</v>
      </c>
      <c r="H32" s="14" t="n">
        <v>0.173</v>
      </c>
      <c r="I32" s="25">
        <f>IFERROR((G32-H32)*100,"")</f>
        <v/>
      </c>
      <c r="J32" s="16" t="n">
        <v>3579.97</v>
      </c>
    </row>
    <row r="33">
      <c r="A33" s="8" t="inlineStr">
        <is>
          <t>2026-07</t>
        </is>
      </c>
      <c r="B33" s="13" t="n">
        <v>0.13</v>
      </c>
      <c r="C33" s="13" t="n">
        <v>0.13</v>
      </c>
      <c r="D33" s="13" t="n">
        <v>0.08</v>
      </c>
      <c r="E33" s="13" t="n">
        <v>0.12</v>
      </c>
      <c r="F33" s="13" t="n">
        <v>0.1144</v>
      </c>
      <c r="G33" s="13" t="n">
        <v>0.1741</v>
      </c>
      <c r="H33" s="13" t="n">
        <v>0.1723</v>
      </c>
      <c r="I33" s="26">
        <f>IFERROR((G33-H33)*100,"")</f>
        <v/>
      </c>
      <c r="J33" s="15" t="n">
        <v>3592.73</v>
      </c>
    </row>
    <row r="36">
      <c r="A36" s="23" t="inlineStr">
        <is>
          <t>Инфляцад нөлөөлж буй бүлгүүд (CPI component contributions to headline, 2026-07)</t>
        </is>
      </c>
    </row>
    <row r="37">
      <c r="A37" s="3" t="inlineStr">
        <is>
          <t>Бүлэг (Category)</t>
        </is>
      </c>
      <c r="B37" s="3" t="inlineStr">
        <is>
          <t>Хувь нэмэр, 2026-07 (pp)</t>
        </is>
      </c>
      <c r="C37" s="3" t="inlineStr">
        <is>
          <t>Эзлэх хувь, 2026-07 (share)</t>
        </is>
      </c>
      <c r="D37" s="3" t="inlineStr">
        <is>
          <t>Хувь нэмэр, 2025-07 (pp)</t>
        </is>
      </c>
      <c r="E37" s="3" t="inlineStr">
        <is>
          <t>Эзлэх хувь, 2025-07 (share)</t>
        </is>
      </c>
      <c r="F37" s="3" t="inlineStr">
        <is>
          <t>Бүлгийн өсөлт (Category YoY)</t>
        </is>
      </c>
      <c r="G37" s="3" t="inlineStr">
        <is>
          <t>Индекс (Level)</t>
        </is>
      </c>
    </row>
    <row r="38">
      <c r="A38" s="5" t="inlineStr">
        <is>
          <t>Хүнсний бараа, согтууруулах бус ундаа Food &amp; non-alcoholic beverages</t>
        </is>
      </c>
      <c r="B38" s="25" t="n">
        <v>7.01</v>
      </c>
      <c r="C38" s="14" t="n">
        <v>0.5371647509578544</v>
      </c>
      <c r="D38" s="25" t="n">
        <v>1.8</v>
      </c>
      <c r="E38" s="14" t="n">
        <v>0.2222222222222222</v>
      </c>
      <c r="F38" s="14" t="n">
        <v>0.255</v>
      </c>
      <c r="G38" s="16" t="n">
        <v>39.46</v>
      </c>
    </row>
    <row r="39">
      <c r="A39" s="8" t="inlineStr">
        <is>
          <t>Тээвэр Transports</t>
        </is>
      </c>
      <c r="B39" s="26" t="n">
        <v>1.48</v>
      </c>
      <c r="C39" s="13" t="n">
        <v>0.1134099616858238</v>
      </c>
      <c r="D39" s="26" t="n">
        <v>0.44</v>
      </c>
      <c r="E39" s="13" t="n">
        <v>0.05432098765432099</v>
      </c>
      <c r="F39" s="13" t="n">
        <v>0.1</v>
      </c>
      <c r="G39" s="15" t="n">
        <v>18.63</v>
      </c>
    </row>
    <row r="40">
      <c r="A40" s="5" t="inlineStr">
        <is>
          <t>Хувцас, бөс бараа, гутал Clothing, footwear and cloths</t>
        </is>
      </c>
      <c r="B40" s="25" t="n">
        <v>0.93</v>
      </c>
      <c r="C40" s="14" t="n">
        <v>0.07126436781609197</v>
      </c>
      <c r="D40" s="25" t="n">
        <v>1.17</v>
      </c>
      <c r="E40" s="14" t="n">
        <v>0.1444444444444444</v>
      </c>
      <c r="F40" s="14" t="n">
        <v>0.07200000000000001</v>
      </c>
      <c r="G40" s="16" t="n">
        <v>15.86</v>
      </c>
    </row>
    <row r="41">
      <c r="A41" s="8" t="inlineStr">
        <is>
          <t>Боловсролын үйлчилгээ Education</t>
        </is>
      </c>
      <c r="B41" s="26" t="n">
        <v>0.76</v>
      </c>
      <c r="C41" s="13" t="n">
        <v>0.05823754789272031</v>
      </c>
      <c r="D41" s="26" t="n">
        <v>1</v>
      </c>
      <c r="E41" s="13" t="n">
        <v>0.1234567901234568</v>
      </c>
      <c r="F41" s="13" t="n">
        <v>0.128</v>
      </c>
      <c r="G41" s="15" t="n">
        <v>7.72</v>
      </c>
    </row>
    <row r="42">
      <c r="A42" s="5" t="inlineStr">
        <is>
          <t>Бусад бараа үйлчилгээ Miscellaneous goods &amp; services</t>
        </is>
      </c>
      <c r="B42" s="25" t="n">
        <v>0.58</v>
      </c>
      <c r="C42" s="14" t="n">
        <v>0.04444444444444445</v>
      </c>
      <c r="D42" s="25" t="n">
        <v>0.59</v>
      </c>
      <c r="E42" s="14" t="n">
        <v>0.0728395061728395</v>
      </c>
      <c r="F42" s="14" t="n">
        <v>0.098</v>
      </c>
      <c r="G42" s="16" t="n">
        <v>7.51</v>
      </c>
    </row>
    <row r="43">
      <c r="A43" s="8" t="inlineStr">
        <is>
          <t>Орон сууц, ус, түлш, цахилгаан Housing, water, electricity, and fuels</t>
        </is>
      </c>
      <c r="B43" s="26" t="n">
        <v>0.54</v>
      </c>
      <c r="C43" s="13" t="n">
        <v>0.04137931034482759</v>
      </c>
      <c r="D43" s="26" t="n">
        <v>1.89</v>
      </c>
      <c r="E43" s="13" t="n">
        <v>0.2333333333333333</v>
      </c>
      <c r="F43" s="13" t="n">
        <v>0.051</v>
      </c>
      <c r="G43" s="15" t="n">
        <v>12.7</v>
      </c>
    </row>
    <row r="44">
      <c r="A44" s="5" t="inlineStr">
        <is>
          <t>Эм, тариа, эмнэлгийн үйлчилгээ Medical care &amp; services</t>
        </is>
      </c>
      <c r="B44" s="25" t="n">
        <v>0.53</v>
      </c>
      <c r="C44" s="14" t="n">
        <v>0.04061302681992338</v>
      </c>
      <c r="D44" s="25" t="n">
        <v>0.38</v>
      </c>
      <c r="E44" s="14" t="n">
        <v>0.04691358024691358</v>
      </c>
      <c r="F44" s="14" t="n">
        <v>0.076</v>
      </c>
      <c r="G44" s="16" t="n">
        <v>8.6</v>
      </c>
    </row>
    <row r="45">
      <c r="A45" s="8" t="inlineStr">
        <is>
          <t>Зочид буудал, нийтийн хоол, дотуур байр Restraurants hotels</t>
        </is>
      </c>
      <c r="B45" s="26" t="n">
        <v>0.43</v>
      </c>
      <c r="C45" s="13" t="n">
        <v>0.03295019157088123</v>
      </c>
      <c r="D45" s="26" t="n">
        <v>0.3</v>
      </c>
      <c r="E45" s="13" t="n">
        <v>0.03703703703703703</v>
      </c>
      <c r="F45" s="13" t="n">
        <v>0.162</v>
      </c>
      <c r="G45" s="15" t="n">
        <v>3.49</v>
      </c>
    </row>
    <row r="46">
      <c r="A46" s="5" t="inlineStr">
        <is>
          <t>Гэр ахуйн тавилга, гэр ахуйн бараа Furnishings, household equipment &amp; tools</t>
        </is>
      </c>
      <c r="B46" s="25" t="n">
        <v>0.41</v>
      </c>
      <c r="C46" s="14" t="n">
        <v>0.03141762452107279</v>
      </c>
      <c r="D46" s="25" t="n">
        <v>0.3</v>
      </c>
      <c r="E46" s="14" t="n">
        <v>0.03703703703703703</v>
      </c>
      <c r="F46" s="14" t="n">
        <v>0.08699999999999999</v>
      </c>
      <c r="G46" s="16" t="n">
        <v>5.87</v>
      </c>
    </row>
    <row r="47">
      <c r="A47" s="8" t="inlineStr">
        <is>
          <t>Согтууруу- лах ундаа, тамхи Alcoholic beverages, tobacco</t>
        </is>
      </c>
      <c r="B47" s="26" t="n">
        <v>0.12</v>
      </c>
      <c r="C47" s="13" t="n">
        <v>0.009195402298850575</v>
      </c>
      <c r="D47" s="26" t="n">
        <v>0.04</v>
      </c>
      <c r="E47" s="13" t="n">
        <v>0.004938271604938272</v>
      </c>
      <c r="F47" s="13" t="n">
        <v>0.126</v>
      </c>
      <c r="G47" s="15" t="n">
        <v>1.23</v>
      </c>
    </row>
    <row r="48">
      <c r="A48" s="5" t="inlineStr">
        <is>
          <t>Амралт, чөлөөт цаг, соёлын бараа үйлчилгээ Recreation &amp; culture</t>
        </is>
      </c>
      <c r="B48" s="25" t="n">
        <v>0.1</v>
      </c>
      <c r="C48" s="14" t="n">
        <v>0.007662835249042147</v>
      </c>
      <c r="D48" s="25" t="n">
        <v>0.09</v>
      </c>
      <c r="E48" s="14" t="n">
        <v>0.01111111111111111</v>
      </c>
      <c r="F48" s="14" t="n">
        <v>0.066</v>
      </c>
      <c r="G48" s="16" t="n">
        <v>1.82</v>
      </c>
    </row>
    <row r="49">
      <c r="A49" s="8" t="inlineStr">
        <is>
          <t>Холбооны хэрэгсэл, шуудангийн үйлчилгээ Communi- cation</t>
        </is>
      </c>
      <c r="B49" s="26" t="n">
        <v>0.08</v>
      </c>
      <c r="C49" s="13" t="n">
        <v>0.006130268199233717</v>
      </c>
      <c r="D49" s="26" t="n">
        <v>0.04</v>
      </c>
      <c r="E49" s="13" t="n">
        <v>0.004938271604938272</v>
      </c>
      <c r="F49" s="13" t="n">
        <v>0.016</v>
      </c>
      <c r="G49" s="15" t="n">
        <v>6.03</v>
      </c>
    </row>
    <row r="50">
      <c r="A50" s="5" t="inlineStr">
        <is>
          <t>Даатгал санхүүгийн үйлчилгээ Insurance and financial services</t>
        </is>
      </c>
      <c r="B50" s="25" t="n">
        <v>0.08</v>
      </c>
      <c r="C50" s="14" t="n">
        <v>0.006130268199233717</v>
      </c>
      <c r="D50" s="25" t="n">
        <v>0.06</v>
      </c>
      <c r="E50" s="14" t="n">
        <v>0.007407407407407408</v>
      </c>
      <c r="F50" s="14" t="n">
        <v>0.17</v>
      </c>
      <c r="G50" s="16" t="n">
        <v>0.6</v>
      </c>
    </row>
    <row r="51">
      <c r="A51" s="4" t="inlineStr">
        <is>
          <t>Улсын инфляц (Total, pp — must match headline)</t>
        </is>
      </c>
      <c r="B51" s="27">
        <f>SUM(B38:B50)</f>
        <v/>
      </c>
      <c r="C51" s="29">
        <f>SUM(C38:C50)</f>
        <v/>
      </c>
      <c r="D51" s="27">
        <f>SUM(D38:D50)</f>
        <v/>
      </c>
      <c r="E51" s="29">
        <f>SUM(E38:E50)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42"/>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18" customWidth="1" min="3" max="3"/>
    <col width="18" customWidth="1" min="4" max="4"/>
    <col width="16" customWidth="1" min="5" max="5"/>
    <col width="12" customWidth="1" min="6" max="6"/>
    <col width="12" customWidth="1" min="7" max="7"/>
    <col width="18" customWidth="1" min="8" max="8"/>
    <col width="14" customWidth="1" min="9" max="9"/>
  </cols>
  <sheetData>
    <row r="1">
      <c r="A1" s="1" t="inlineStr">
        <is>
          <t>Foreign trade</t>
        </is>
      </c>
    </row>
    <row r="2">
      <c r="A2" s="2" t="inlineStr">
        <is>
          <t>Deck slide 9. Source: Customs gaali.mn monthly bulletin, sheet 1. Money: thousand USD unless noted. YoY/balance columns are formulas.</t>
        </is>
      </c>
    </row>
    <row r="4">
      <c r="A4" s="6" t="inlineStr">
        <is>
          <t>МЭДЭЭЛЛИЙН ОН САР / DATA AS OF:  Customs (gaali.mn) — 2026-07 (CURRENT)      [тайлант үе / reported month: 2026-07]</t>
        </is>
      </c>
    </row>
    <row r="6">
      <c r="A6" s="3" t="inlineStr">
        <is>
          <t>Үзүүлэлт (Indicator)</t>
        </is>
      </c>
      <c r="B6" s="3" t="inlineStr">
        <is>
          <t>Өмнөх он (Prev year, cum.)</t>
        </is>
      </c>
      <c r="C6" s="3" t="inlineStr">
        <is>
          <t>Тайлант он (Current year, cum.)</t>
        </is>
      </c>
      <c r="D6" s="3" t="inlineStr">
        <is>
          <t>Өсөлт (YoY)</t>
        </is>
      </c>
      <c r="E6" s="3" t="inlineStr">
        <is>
          <t>сая $ (mln USD, cur.)</t>
        </is>
      </c>
    </row>
    <row r="7">
      <c r="A7" s="4" t="inlineStr">
        <is>
          <t>Экспорт (Export)</t>
        </is>
      </c>
      <c r="B7" s="16" t="n">
        <v>7751535.22</v>
      </c>
      <c r="C7" s="16" t="n">
        <v>12205932.07</v>
      </c>
      <c r="D7" s="14">
        <f>IFERROR(C7/B7-1,"")</f>
        <v/>
      </c>
      <c r="E7" s="16">
        <f>IFERROR(C7/1000,"")</f>
        <v/>
      </c>
    </row>
    <row r="8">
      <c r="A8" s="4" t="inlineStr">
        <is>
          <t>Импорт (Import)</t>
        </is>
      </c>
      <c r="B8" s="16" t="n">
        <v>6480784.19</v>
      </c>
      <c r="C8" s="16" t="n">
        <v>7158063.37</v>
      </c>
      <c r="D8" s="14">
        <f>IFERROR(C8/B8-1,"")</f>
        <v/>
      </c>
      <c r="E8" s="16">
        <f>IFERROR(C8/1000,"")</f>
        <v/>
      </c>
    </row>
    <row r="9">
      <c r="A9" s="4" t="inlineStr">
        <is>
          <t>Худалдааны тэнцэл (Trade balance)</t>
        </is>
      </c>
      <c r="B9" s="16">
        <f>B7-B8</f>
        <v/>
      </c>
      <c r="C9" s="16">
        <f>C7-C8</f>
        <v/>
      </c>
      <c r="D9" s="30">
        <f>IFERROR(C9/B9,"")</f>
        <v/>
      </c>
      <c r="E9" s="16">
        <f>IFERROR(C9/1000,"")</f>
        <v/>
      </c>
    </row>
    <row r="12">
      <c r="A12" s="23" t="inlineStr">
        <is>
          <t>Сар бүрийн өссөн худалдаа (Monthly cumulative trade, mln USD) — grows as monthly workbooks are cached</t>
        </is>
      </c>
    </row>
    <row r="13">
      <c r="A13" s="3" t="inlineStr">
        <is>
          <t>Он (Year)</t>
        </is>
      </c>
      <c r="B13" s="3" t="inlineStr">
        <is>
          <t>Сар (Month)</t>
        </is>
      </c>
      <c r="C13" s="3" t="inlineStr">
        <is>
          <t>Экспорт, өссөн (Export cum., mln $)</t>
        </is>
      </c>
      <c r="D13" s="3" t="inlineStr">
        <is>
          <t>Импорт, өссөн (Import cum., mln $)</t>
        </is>
      </c>
      <c r="E13" s="3" t="inlineStr">
        <is>
          <t>Тэнцэл (Balance, mln $)</t>
        </is>
      </c>
      <c r="F13" s="3" t="inlineStr">
        <is>
          <t>Экспортын өсөлт (Export YoY)</t>
        </is>
      </c>
      <c r="G13" s="3" t="inlineStr">
        <is>
          <t>Импортын өсөлт (Import YoY)</t>
        </is>
      </c>
      <c r="H13" s="3" t="inlineStr">
        <is>
          <t>Нийт эргэлт (Turnover, mln $)</t>
        </is>
      </c>
      <c r="I13" s="3" t="inlineStr">
        <is>
          <t>Эргэлтийн өсөлт (Turnover YoY)</t>
        </is>
      </c>
    </row>
    <row r="14">
      <c r="A14" s="5" t="n">
        <v>2024</v>
      </c>
      <c r="B14" s="5" t="n">
        <v>1</v>
      </c>
      <c r="C14" s="16" t="n">
        <v>1324.925</v>
      </c>
      <c r="D14" s="16" t="n">
        <v>935.9896</v>
      </c>
      <c r="E14" s="16">
        <f>C14-D14</f>
        <v/>
      </c>
      <c r="H14" s="16">
        <f>C14+D14</f>
        <v/>
      </c>
    </row>
    <row r="15">
      <c r="A15" s="5" t="n">
        <v>2024</v>
      </c>
      <c r="B15" s="5" t="n">
        <v>2</v>
      </c>
      <c r="C15" s="16" t="n">
        <v>2240.2788</v>
      </c>
      <c r="D15" s="16" t="n">
        <v>1595.8787</v>
      </c>
      <c r="E15" s="16">
        <f>C15-D15</f>
        <v/>
      </c>
      <c r="H15" s="16">
        <f>C15+D15</f>
        <v/>
      </c>
    </row>
    <row r="16">
      <c r="A16" s="5" t="n">
        <v>2024</v>
      </c>
      <c r="B16" s="5" t="n">
        <v>3</v>
      </c>
      <c r="C16" s="16" t="n">
        <v>3658.8553</v>
      </c>
      <c r="D16" s="16" t="n">
        <v>2414.2793</v>
      </c>
      <c r="E16" s="16">
        <f>C16-D16</f>
        <v/>
      </c>
      <c r="H16" s="16">
        <f>C16+D16</f>
        <v/>
      </c>
    </row>
    <row r="17">
      <c r="A17" s="5" t="n">
        <v>2024</v>
      </c>
      <c r="B17" s="5" t="n">
        <v>4</v>
      </c>
      <c r="C17" s="16" t="n">
        <v>4937.0968</v>
      </c>
      <c r="D17" s="16" t="n">
        <v>3426.2195</v>
      </c>
      <c r="E17" s="16">
        <f>C17-D17</f>
        <v/>
      </c>
      <c r="H17" s="16">
        <f>C17+D17</f>
        <v/>
      </c>
    </row>
    <row r="18">
      <c r="A18" s="5" t="n">
        <v>2024</v>
      </c>
      <c r="B18" s="5" t="n">
        <v>5</v>
      </c>
      <c r="C18" s="16" t="n">
        <v>6355.9796</v>
      </c>
      <c r="D18" s="16" t="n">
        <v>4395.157099999999</v>
      </c>
      <c r="E18" s="16">
        <f>C18-D18</f>
        <v/>
      </c>
      <c r="H18" s="16">
        <f>C18+D18</f>
        <v/>
      </c>
    </row>
    <row r="19">
      <c r="A19" s="5" t="n">
        <v>2024</v>
      </c>
      <c r="B19" s="5" t="n">
        <v>6</v>
      </c>
      <c r="C19" s="16" t="n">
        <v>7886.214599999999</v>
      </c>
      <c r="D19" s="16" t="n">
        <v>5378.4283</v>
      </c>
      <c r="E19" s="16">
        <f>C19-D19</f>
        <v/>
      </c>
      <c r="H19" s="16">
        <f>C19+D19</f>
        <v/>
      </c>
    </row>
    <row r="20">
      <c r="A20" s="5" t="n">
        <v>2024</v>
      </c>
      <c r="B20" s="5" t="n">
        <v>7</v>
      </c>
      <c r="C20" s="16" t="n">
        <v>9265.8501</v>
      </c>
      <c r="D20" s="16" t="n">
        <v>6411.1281</v>
      </c>
      <c r="E20" s="16">
        <f>C20-D20</f>
        <v/>
      </c>
      <c r="H20" s="16">
        <f>C20+D20</f>
        <v/>
      </c>
    </row>
    <row r="21">
      <c r="A21" s="5" t="n">
        <v>2024</v>
      </c>
      <c r="B21" s="5" t="n">
        <v>8</v>
      </c>
      <c r="C21" s="16" t="n">
        <v>10625.0893</v>
      </c>
      <c r="D21" s="16" t="n">
        <v>7501.6131</v>
      </c>
      <c r="E21" s="16">
        <f>C21-D21</f>
        <v/>
      </c>
      <c r="H21" s="16">
        <f>C21+D21</f>
        <v/>
      </c>
    </row>
    <row r="22">
      <c r="A22" s="5" t="n">
        <v>2024</v>
      </c>
      <c r="B22" s="5" t="n">
        <v>9</v>
      </c>
      <c r="C22" s="16" t="n">
        <v>11782.6531</v>
      </c>
      <c r="D22" s="16" t="n">
        <v>8608.287900000001</v>
      </c>
      <c r="E22" s="16">
        <f>C22-D22</f>
        <v/>
      </c>
      <c r="H22" s="16">
        <f>C22+D22</f>
        <v/>
      </c>
    </row>
    <row r="23">
      <c r="A23" s="5" t="n">
        <v>2024</v>
      </c>
      <c r="B23" s="5" t="n">
        <v>10</v>
      </c>
      <c r="C23" s="16" t="n">
        <v>13207.1732</v>
      </c>
      <c r="D23" s="16" t="n">
        <v>9579.780500000001</v>
      </c>
      <c r="E23" s="16">
        <f>C23-D23</f>
        <v/>
      </c>
      <c r="H23" s="16">
        <f>C23+D23</f>
        <v/>
      </c>
    </row>
    <row r="24">
      <c r="A24" s="5" t="n">
        <v>2024</v>
      </c>
      <c r="B24" s="5" t="n">
        <v>11</v>
      </c>
      <c r="C24" s="16" t="n">
        <v>14596.4195</v>
      </c>
      <c r="D24" s="16" t="n">
        <v>10567.0988</v>
      </c>
      <c r="E24" s="16">
        <f>C24-D24</f>
        <v/>
      </c>
      <c r="H24" s="16">
        <f>C24+D24</f>
        <v/>
      </c>
    </row>
    <row r="25">
      <c r="A25" s="5" t="n">
        <v>2025</v>
      </c>
      <c r="B25" s="5" t="n">
        <v>1</v>
      </c>
      <c r="C25" s="16" t="n">
        <v>1019.1869</v>
      </c>
      <c r="D25" s="16" t="n">
        <v>973.1577</v>
      </c>
      <c r="E25" s="16">
        <f>C25-D25</f>
        <v/>
      </c>
      <c r="F25" s="14">
        <f>IFERROR(C25/C14-1,"")</f>
        <v/>
      </c>
      <c r="G25" s="14">
        <f>IFERROR(D25/D14-1,"")</f>
        <v/>
      </c>
      <c r="H25" s="16">
        <f>C25+D25</f>
        <v/>
      </c>
      <c r="I25" s="14">
        <f>IFERROR(H25/H14-1,"")</f>
        <v/>
      </c>
    </row>
    <row r="26">
      <c r="A26" s="5" t="n">
        <v>2025</v>
      </c>
      <c r="B26" s="5" t="n">
        <v>2</v>
      </c>
      <c r="C26" s="16" t="n">
        <v>2004.9174</v>
      </c>
      <c r="D26" s="16" t="n">
        <v>1710.8877</v>
      </c>
      <c r="E26" s="16">
        <f>C26-D26</f>
        <v/>
      </c>
      <c r="F26" s="14">
        <f>IFERROR(C26/C15-1,"")</f>
        <v/>
      </c>
      <c r="G26" s="14">
        <f>IFERROR(D26/D15-1,"")</f>
        <v/>
      </c>
      <c r="H26" s="16">
        <f>C26+D26</f>
        <v/>
      </c>
      <c r="I26" s="14">
        <f>IFERROR(H26/H15-1,"")</f>
        <v/>
      </c>
    </row>
    <row r="27">
      <c r="A27" s="5" t="n">
        <v>2025</v>
      </c>
      <c r="B27" s="5" t="n">
        <v>3</v>
      </c>
      <c r="C27" s="16" t="n">
        <v>3013.0441</v>
      </c>
      <c r="D27" s="16" t="n">
        <v>2547.9754</v>
      </c>
      <c r="E27" s="16">
        <f>C27-D27</f>
        <v/>
      </c>
      <c r="F27" s="14">
        <f>IFERROR(C27/C16-1,"")</f>
        <v/>
      </c>
      <c r="G27" s="14">
        <f>IFERROR(D27/D16-1,"")</f>
        <v/>
      </c>
      <c r="H27" s="16">
        <f>C27+D27</f>
        <v/>
      </c>
      <c r="I27" s="14">
        <f>IFERROR(H27/H16-1,"")</f>
        <v/>
      </c>
    </row>
    <row r="28">
      <c r="A28" s="5" t="n">
        <v>2025</v>
      </c>
      <c r="B28" s="5" t="n">
        <v>4</v>
      </c>
      <c r="C28" s="16" t="n">
        <v>4242.5935</v>
      </c>
      <c r="D28" s="16" t="n">
        <v>3559.4164</v>
      </c>
      <c r="E28" s="16">
        <f>C28-D28</f>
        <v/>
      </c>
      <c r="F28" s="14">
        <f>IFERROR(C28/C17-1,"")</f>
        <v/>
      </c>
      <c r="G28" s="14">
        <f>IFERROR(D28/D17-1,"")</f>
        <v/>
      </c>
      <c r="H28" s="16">
        <f>C28+D28</f>
        <v/>
      </c>
      <c r="I28" s="14">
        <f>IFERROR(H28/H17-1,"")</f>
        <v/>
      </c>
    </row>
    <row r="29">
      <c r="A29" s="5" t="n">
        <v>2025</v>
      </c>
      <c r="B29" s="5" t="n">
        <v>5</v>
      </c>
      <c r="C29" s="16" t="n">
        <v>5424.5923</v>
      </c>
      <c r="D29" s="16" t="n">
        <v>4540.081700000001</v>
      </c>
      <c r="E29" s="16">
        <f>C29-D29</f>
        <v/>
      </c>
      <c r="F29" s="14">
        <f>IFERROR(C29/C18-1,"")</f>
        <v/>
      </c>
      <c r="G29" s="14">
        <f>IFERROR(D29/D18-1,"")</f>
        <v/>
      </c>
      <c r="H29" s="16">
        <f>C29+D29</f>
        <v/>
      </c>
      <c r="I29" s="14">
        <f>IFERROR(H29/H18-1,"")</f>
        <v/>
      </c>
    </row>
    <row r="30">
      <c r="A30" s="5" t="n">
        <v>2025</v>
      </c>
      <c r="B30" s="5" t="n">
        <v>6</v>
      </c>
      <c r="C30" s="16" t="n">
        <v>6581.3934</v>
      </c>
      <c r="D30" s="16" t="n">
        <v>5528.2273</v>
      </c>
      <c r="E30" s="16">
        <f>C30-D30</f>
        <v/>
      </c>
      <c r="F30" s="14">
        <f>IFERROR(C30/C19-1,"")</f>
        <v/>
      </c>
      <c r="G30" s="14">
        <f>IFERROR(D30/D19-1,"")</f>
        <v/>
      </c>
      <c r="H30" s="16">
        <f>C30+D30</f>
        <v/>
      </c>
      <c r="I30" s="14">
        <f>IFERROR(H30/H19-1,"")</f>
        <v/>
      </c>
    </row>
    <row r="31">
      <c r="A31" s="5" t="n">
        <v>2025</v>
      </c>
      <c r="B31" s="5" t="n">
        <v>7</v>
      </c>
      <c r="C31" s="16" t="n">
        <v>7751.5352</v>
      </c>
      <c r="D31" s="16" t="n">
        <v>6480.7842</v>
      </c>
      <c r="E31" s="16">
        <f>C31-D31</f>
        <v/>
      </c>
      <c r="F31" s="14">
        <f>IFERROR(C31/C20-1,"")</f>
        <v/>
      </c>
      <c r="G31" s="14">
        <f>IFERROR(D31/D20-1,"")</f>
        <v/>
      </c>
      <c r="H31" s="16">
        <f>C31+D31</f>
        <v/>
      </c>
      <c r="I31" s="14">
        <f>IFERROR(H31/H20-1,"")</f>
        <v/>
      </c>
    </row>
    <row r="32">
      <c r="A32" s="5" t="n">
        <v>2025</v>
      </c>
      <c r="B32" s="5" t="n">
        <v>8</v>
      </c>
      <c r="C32" s="16" t="n">
        <v>9158.1271</v>
      </c>
      <c r="D32" s="16" t="n">
        <v>7476.6528</v>
      </c>
      <c r="E32" s="16">
        <f>C32-D32</f>
        <v/>
      </c>
      <c r="F32" s="14">
        <f>IFERROR(C32/C21-1,"")</f>
        <v/>
      </c>
      <c r="G32" s="14">
        <f>IFERROR(D32/D21-1,"")</f>
        <v/>
      </c>
      <c r="H32" s="16">
        <f>C32+D32</f>
        <v/>
      </c>
      <c r="I32" s="14">
        <f>IFERROR(H32/H21-1,"")</f>
        <v/>
      </c>
    </row>
    <row r="33">
      <c r="A33" s="5" t="n">
        <v>2025</v>
      </c>
      <c r="B33" s="5" t="n">
        <v>9</v>
      </c>
      <c r="C33" s="16" t="n">
        <v>10708.6005</v>
      </c>
      <c r="D33" s="16" t="n">
        <v>8533.839400000001</v>
      </c>
      <c r="E33" s="16">
        <f>C33-D33</f>
        <v/>
      </c>
      <c r="F33" s="14">
        <f>IFERROR(C33/C22-1,"")</f>
        <v/>
      </c>
      <c r="G33" s="14">
        <f>IFERROR(D33/D22-1,"")</f>
        <v/>
      </c>
      <c r="H33" s="16">
        <f>C33+D33</f>
        <v/>
      </c>
      <c r="I33" s="14">
        <f>IFERROR(H33/H22-1,"")</f>
        <v/>
      </c>
    </row>
    <row r="34">
      <c r="A34" s="5" t="n">
        <v>2025</v>
      </c>
      <c r="B34" s="5" t="n">
        <v>10</v>
      </c>
      <c r="C34" s="16" t="n">
        <v>12230.5897</v>
      </c>
      <c r="D34" s="16" t="n">
        <v>9365.715900000001</v>
      </c>
      <c r="E34" s="16">
        <f>C34-D34</f>
        <v/>
      </c>
      <c r="F34" s="14">
        <f>IFERROR(C34/C23-1,"")</f>
        <v/>
      </c>
      <c r="G34" s="14">
        <f>IFERROR(D34/D23-1,"")</f>
        <v/>
      </c>
      <c r="H34" s="16">
        <f>C34+D34</f>
        <v/>
      </c>
      <c r="I34" s="14">
        <f>IFERROR(H34/H23-1,"")</f>
        <v/>
      </c>
    </row>
    <row r="35">
      <c r="A35" s="5" t="n">
        <v>2025</v>
      </c>
      <c r="B35" s="5" t="n">
        <v>11</v>
      </c>
      <c r="C35" s="16" t="n">
        <v>13742.4855</v>
      </c>
      <c r="D35" s="16" t="n">
        <v>10210.61</v>
      </c>
      <c r="E35" s="16">
        <f>C35-D35</f>
        <v/>
      </c>
      <c r="F35" s="14">
        <f>IFERROR(C35/C24-1,"")</f>
        <v/>
      </c>
      <c r="G35" s="14">
        <f>IFERROR(D35/D24-1,"")</f>
        <v/>
      </c>
      <c r="H35" s="16">
        <f>C35+D35</f>
        <v/>
      </c>
      <c r="I35" s="14">
        <f>IFERROR(H35/H24-1,"")</f>
        <v/>
      </c>
    </row>
    <row r="36">
      <c r="A36" s="5" t="n">
        <v>2026</v>
      </c>
      <c r="B36" s="5" t="n">
        <v>1</v>
      </c>
      <c r="C36" s="16" t="n">
        <v>1749.4153</v>
      </c>
      <c r="D36" s="16" t="n">
        <v>842.9573</v>
      </c>
      <c r="E36" s="16">
        <f>C36-D36</f>
        <v/>
      </c>
      <c r="F36" s="14">
        <f>IFERROR(C36/C25-1,"")</f>
        <v/>
      </c>
      <c r="G36" s="14">
        <f>IFERROR(D36/D25-1,"")</f>
        <v/>
      </c>
      <c r="H36" s="16">
        <f>C36+D36</f>
        <v/>
      </c>
      <c r="I36" s="14">
        <f>IFERROR(H36/H25-1,"")</f>
        <v/>
      </c>
    </row>
    <row r="37">
      <c r="A37" s="5" t="n">
        <v>2026</v>
      </c>
      <c r="B37" s="5" t="n">
        <v>2</v>
      </c>
      <c r="C37" s="16" t="n">
        <v>3046.4106</v>
      </c>
      <c r="D37" s="16" t="n">
        <v>1575.9</v>
      </c>
      <c r="E37" s="16">
        <f>C37-D37</f>
        <v/>
      </c>
      <c r="F37" s="14">
        <f>IFERROR(C37/C26-1,"")</f>
        <v/>
      </c>
      <c r="G37" s="14">
        <f>IFERROR(D37/D26-1,"")</f>
        <v/>
      </c>
      <c r="H37" s="16">
        <f>C37+D37</f>
        <v/>
      </c>
      <c r="I37" s="14">
        <f>IFERROR(H37/H26-1,"")</f>
        <v/>
      </c>
    </row>
    <row r="38">
      <c r="A38" s="5" t="n">
        <v>2026</v>
      </c>
      <c r="B38" s="5" t="n">
        <v>3</v>
      </c>
      <c r="C38" s="16" t="n">
        <v>4889.0087</v>
      </c>
      <c r="D38" s="16" t="n">
        <v>2477.3181</v>
      </c>
      <c r="E38" s="16">
        <f>C38-D38</f>
        <v/>
      </c>
      <c r="F38" s="14">
        <f>IFERROR(C38/C27-1,"")</f>
        <v/>
      </c>
      <c r="G38" s="14">
        <f>IFERROR(D38/D27-1,"")</f>
        <v/>
      </c>
      <c r="H38" s="16">
        <f>C38+D38</f>
        <v/>
      </c>
      <c r="I38" s="14">
        <f>IFERROR(H38/H27-1,"")</f>
        <v/>
      </c>
    </row>
    <row r="39">
      <c r="A39" s="5" t="n">
        <v>2026</v>
      </c>
      <c r="B39" s="5" t="n">
        <v>4</v>
      </c>
      <c r="C39" s="16" t="n">
        <v>6813.0155</v>
      </c>
      <c r="D39" s="16" t="n">
        <v>3668.5537</v>
      </c>
      <c r="E39" s="16">
        <f>C39-D39</f>
        <v/>
      </c>
      <c r="F39" s="14">
        <f>IFERROR(C39/C28-1,"")</f>
        <v/>
      </c>
      <c r="G39" s="14">
        <f>IFERROR(D39/D28-1,"")</f>
        <v/>
      </c>
      <c r="H39" s="16">
        <f>C39+D39</f>
        <v/>
      </c>
      <c r="I39" s="14">
        <f>IFERROR(H39/H28-1,"")</f>
        <v/>
      </c>
    </row>
    <row r="40">
      <c r="A40" s="5" t="n">
        <v>2026</v>
      </c>
      <c r="B40" s="5" t="n">
        <v>5</v>
      </c>
      <c r="C40" s="16" t="n">
        <v>8470.463</v>
      </c>
      <c r="D40" s="16" t="n">
        <v>4905.2301</v>
      </c>
      <c r="E40" s="16">
        <f>C40-D40</f>
        <v/>
      </c>
      <c r="F40" s="14">
        <f>IFERROR(C40/C29-1,"")</f>
        <v/>
      </c>
      <c r="G40" s="14">
        <f>IFERROR(D40/D29-1,"")</f>
        <v/>
      </c>
      <c r="H40" s="16">
        <f>C40+D40</f>
        <v/>
      </c>
      <c r="I40" s="14">
        <f>IFERROR(H40/H29-1,"")</f>
        <v/>
      </c>
    </row>
    <row r="41">
      <c r="A41" s="5" t="n">
        <v>2026</v>
      </c>
      <c r="B41" s="5" t="n">
        <v>6</v>
      </c>
      <c r="C41" s="16" t="n">
        <v>10393.9402</v>
      </c>
      <c r="D41" s="16" t="n">
        <v>6116.8771</v>
      </c>
      <c r="E41" s="16">
        <f>C41-D41</f>
        <v/>
      </c>
      <c r="F41" s="14">
        <f>IFERROR(C41/C30-1,"")</f>
        <v/>
      </c>
      <c r="G41" s="14">
        <f>IFERROR(D41/D30-1,"")</f>
        <v/>
      </c>
      <c r="H41" s="16">
        <f>C41+D41</f>
        <v/>
      </c>
      <c r="I41" s="14">
        <f>IFERROR(H41/H30-1,"")</f>
        <v/>
      </c>
    </row>
    <row r="42">
      <c r="A42" s="5" t="n">
        <v>2026</v>
      </c>
      <c r="B42" s="5" t="n">
        <v>7</v>
      </c>
      <c r="C42" s="16" t="n">
        <v>12205.9321</v>
      </c>
      <c r="D42" s="16" t="n">
        <v>7158.0634</v>
      </c>
      <c r="E42" s="16">
        <f>C42-D42</f>
        <v/>
      </c>
      <c r="F42" s="14">
        <f>IFERROR(C42/C31-1,"")</f>
        <v/>
      </c>
      <c r="G42" s="14">
        <f>IFERROR(D42/D31-1,"")</f>
        <v/>
      </c>
      <c r="H42" s="16">
        <f>C42+D42</f>
        <v/>
      </c>
      <c r="I42" s="14">
        <f>IFERROR(H42/H31-1,"")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2"/>
  <sheetViews>
    <sheetView workbookViewId="0">
      <pane ySplit="3" topLeftCell="A4" activePane="bottomLeft" state="frozen"/>
      <selection pane="bottomLeft" activeCell="A1" sqref="A1"/>
    </sheetView>
  </sheetViews>
  <sheetFormatPr baseColWidth="8" defaultRowHeight="15"/>
  <cols>
    <col width="26" customWidth="1" min="1" max="1"/>
    <col width="12" customWidth="1" min="2" max="2"/>
    <col width="16" customWidth="1" min="3" max="3"/>
    <col width="16" customWidth="1" min="4" max="4"/>
    <col width="10" customWidth="1" min="5" max="5"/>
    <col width="14" customWidth="1" min="6" max="6"/>
    <col width="15" customWidth="1" min="7" max="7"/>
    <col width="10" customWidth="1" min="8" max="8"/>
    <col width="14" customWidth="1" min="9" max="9"/>
    <col width="15" customWidth="1" min="10" max="10"/>
    <col width="10" customWidth="1" min="11" max="11"/>
  </cols>
  <sheetData>
    <row r="1">
      <c r="A1" s="1" t="inlineStr">
        <is>
          <t>Commodity exports &amp; imports</t>
        </is>
      </c>
    </row>
    <row r="2">
      <c r="A2" s="2" t="inlineStr">
        <is>
          <t>Deck slides 9-10. Source: Customs sheet 8 / 8.2 / 3, matched by HS code. Quantities in kg; amounts in thousand USD; every derived column is a formula.</t>
        </is>
      </c>
    </row>
    <row r="4">
      <c r="A4" s="6" t="inlineStr">
        <is>
          <t>МЭДЭЭЛЛИЙН ОН САР / DATA AS OF:  Customs (gaali.mn) — 2026-07 (CURRENT)      [тайлант үе / reported month: 2026-07]</t>
        </is>
      </c>
    </row>
    <row r="6">
      <c r="A6" s="3" t="inlineStr">
        <is>
          <t>Экспортын бараа (Export commodity)</t>
        </is>
      </c>
      <c r="B6" s="3" t="inlineStr">
        <is>
          <t>HS</t>
        </is>
      </c>
      <c r="C6" s="3" t="inlineStr">
        <is>
          <t>Тоо, өмнөх (Qty prev, kg)</t>
        </is>
      </c>
      <c r="D6" s="3" t="inlineStr">
        <is>
          <t>Тоо, тайлант (Qty cur, kg)</t>
        </is>
      </c>
      <c r="E6" s="3" t="inlineStr">
        <is>
          <t>Тооны өсөлт (Qty YoY)</t>
        </is>
      </c>
      <c r="F6" s="3" t="inlineStr">
        <is>
          <t>Дүн, өмнөх (Amt prev, k$)</t>
        </is>
      </c>
      <c r="G6" s="3" t="inlineStr">
        <is>
          <t>Дүн, тайлант (Amt cur, k$)</t>
        </is>
      </c>
      <c r="H6" s="3" t="inlineStr">
        <is>
          <t>Дүнгийн өсөлт (Amt YoY)</t>
        </is>
      </c>
      <c r="I6" s="3" t="inlineStr">
        <is>
          <t>сая $ (mln $)</t>
        </is>
      </c>
      <c r="J6" s="3" t="inlineStr">
        <is>
          <t>Хэмжээ (Volume, deck unit)</t>
        </is>
      </c>
      <c r="K6" s="3" t="inlineStr">
        <is>
          <t>Нэгж (Unit)</t>
        </is>
      </c>
    </row>
    <row r="7">
      <c r="A7" s="4" t="inlineStr">
        <is>
          <t>Чулуун нүүрс (Coal)</t>
        </is>
      </c>
      <c r="B7" s="5" t="inlineStr">
        <is>
          <t>2701</t>
        </is>
      </c>
      <c r="C7" s="24" t="n">
        <v>41347829700</v>
      </c>
      <c r="D7" s="24" t="n">
        <v>65575819700</v>
      </c>
      <c r="E7" s="14">
        <f>IFERROR(D7/C7-1,"")</f>
        <v/>
      </c>
      <c r="F7" s="16" t="n">
        <v>2916910.7</v>
      </c>
      <c r="G7" s="16" t="n">
        <v>4636834</v>
      </c>
      <c r="H7" s="14">
        <f>IFERROR(G7/F7-1,"")</f>
        <v/>
      </c>
      <c r="I7" s="16">
        <f>IFERROR(G7/1000,"")</f>
        <v/>
      </c>
      <c r="J7" s="25">
        <f>IFERROR(D7/1E9,"")</f>
        <v/>
      </c>
      <c r="K7" s="5" t="inlineStr">
        <is>
          <t>mln t</t>
        </is>
      </c>
    </row>
    <row r="8">
      <c r="A8" s="7" t="inlineStr">
        <is>
          <t>Зэсийн хүдэр, баяжмал (Copper concentrate)</t>
        </is>
      </c>
      <c r="B8" s="8" t="inlineStr">
        <is>
          <t>2603</t>
        </is>
      </c>
      <c r="C8" s="31" t="n">
        <v>1242814810</v>
      </c>
      <c r="D8" s="31" t="n">
        <v>1528828900</v>
      </c>
      <c r="E8" s="13">
        <f>IFERROR(D8/C8-1,"")</f>
        <v/>
      </c>
      <c r="F8" s="15" t="n">
        <v>2879141.6</v>
      </c>
      <c r="G8" s="15" t="n">
        <v>5460531.9</v>
      </c>
      <c r="H8" s="13">
        <f>IFERROR(G8/F8-1,"")</f>
        <v/>
      </c>
      <c r="I8" s="15">
        <f>IFERROR(G8/1000,"")</f>
        <v/>
      </c>
      <c r="J8" s="26">
        <f>IFERROR(D8/1E6,"")</f>
        <v/>
      </c>
      <c r="K8" s="8" t="inlineStr">
        <is>
          <t>thous. t</t>
        </is>
      </c>
    </row>
    <row r="9">
      <c r="A9" s="4" t="inlineStr">
        <is>
          <t>Мөнгөжөөгүй алт (Gold, unwrought)</t>
        </is>
      </c>
      <c r="B9" s="5" t="inlineStr">
        <is>
          <t>7108</t>
        </is>
      </c>
      <c r="C9" s="24" t="n">
        <v>4727.9</v>
      </c>
      <c r="D9" s="24" t="n">
        <v>3060.8</v>
      </c>
      <c r="E9" s="14">
        <f>IFERROR(D9/C9-1,"")</f>
        <v/>
      </c>
      <c r="F9" s="16" t="n">
        <v>472467.5</v>
      </c>
      <c r="G9" s="16" t="n">
        <v>482132.9</v>
      </c>
      <c r="H9" s="14">
        <f>IFERROR(G9/F9-1,"")</f>
        <v/>
      </c>
      <c r="I9" s="16">
        <f>IFERROR(G9/1000,"")</f>
        <v/>
      </c>
      <c r="J9" s="25">
        <f>D9</f>
        <v/>
      </c>
      <c r="K9" s="5" t="inlineStr">
        <is>
          <t>kg</t>
        </is>
      </c>
    </row>
    <row r="10">
      <c r="A10" s="7" t="inlineStr">
        <is>
          <t>Төмрийн хүдэр, баяжмал (Iron ore &amp; concentrate)</t>
        </is>
      </c>
      <c r="B10" s="8" t="inlineStr">
        <is>
          <t>2601</t>
        </is>
      </c>
      <c r="C10" s="31" t="n">
        <v>4681300519</v>
      </c>
      <c r="D10" s="31" t="n">
        <v>5162259101</v>
      </c>
      <c r="E10" s="13">
        <f>IFERROR(D10/C10-1,"")</f>
        <v/>
      </c>
      <c r="F10" s="15" t="n">
        <v>332442</v>
      </c>
      <c r="G10" s="15" t="n">
        <v>364686.5</v>
      </c>
      <c r="H10" s="13">
        <f>IFERROR(G10/F10-1,"")</f>
        <v/>
      </c>
      <c r="I10" s="15">
        <f>IFERROR(G10/1000,"")</f>
        <v/>
      </c>
      <c r="J10" s="26">
        <f>IFERROR(D10/1E9,"")</f>
        <v/>
      </c>
      <c r="K10" s="8" t="inlineStr">
        <is>
          <t>mln t</t>
        </is>
      </c>
    </row>
    <row r="11">
      <c r="A11" s="4" t="inlineStr">
        <is>
          <t>Ноос, ноолуур (Wool &amp; cashmere)</t>
        </is>
      </c>
      <c r="B11" s="5" t="inlineStr">
        <is>
          <t>ch51</t>
        </is>
      </c>
      <c r="C11" s="24" t="n">
        <v>4461.75297</v>
      </c>
      <c r="D11" s="24" t="n">
        <v>6890.787113</v>
      </c>
      <c r="E11" s="14">
        <f>IFERROR(D11/C11-1,"")</f>
        <v/>
      </c>
      <c r="F11" s="16" t="n">
        <v>90444.82396199999</v>
      </c>
      <c r="G11" s="16" t="n">
        <v>169775.380852</v>
      </c>
      <c r="H11" s="14">
        <f>IFERROR(G11/F11-1,"")</f>
        <v/>
      </c>
      <c r="I11" s="16">
        <f>IFERROR(G11/1000,"")</f>
        <v/>
      </c>
    </row>
    <row r="14">
      <c r="A14" s="23" t="inlineStr">
        <is>
          <t>Импортын бараа (Import commodities)</t>
        </is>
      </c>
    </row>
    <row r="15">
      <c r="A15" s="3" t="inlineStr">
        <is>
          <t>Импортын бараа (Import commodity)</t>
        </is>
      </c>
      <c r="B15" s="3" t="inlineStr">
        <is>
          <t>HS/section</t>
        </is>
      </c>
      <c r="C15" s="3" t="inlineStr">
        <is>
          <t>Дүн, өмнөх (Amt prev, k$)</t>
        </is>
      </c>
      <c r="D15" s="3" t="inlineStr">
        <is>
          <t>Дүн, тайлант (Amt cur, k$)</t>
        </is>
      </c>
      <c r="E15" s="3" t="inlineStr">
        <is>
          <t>Дүнгийн өсөлт (Amt YoY)</t>
        </is>
      </c>
      <c r="F15" s="3" t="inlineStr">
        <is>
          <t>сая $ (mln $)</t>
        </is>
      </c>
    </row>
    <row r="16">
      <c r="A16" s="4" t="inlineStr">
        <is>
          <t>Нефтийн бүтээгдэхүүн (Petroleum products)</t>
        </is>
      </c>
      <c r="B16" s="5" t="inlineStr">
        <is>
          <t>2710</t>
        </is>
      </c>
      <c r="C16" s="16" t="n">
        <v>1153491.9</v>
      </c>
      <c r="D16" s="16" t="n">
        <v>1557290</v>
      </c>
      <c r="E16" s="14">
        <f>IFERROR(D16/C16-1,"")</f>
        <v/>
      </c>
      <c r="F16" s="16">
        <f>IFERROR(D16/1000,"")</f>
        <v/>
      </c>
    </row>
    <row r="17">
      <c r="A17" s="7" t="inlineStr">
        <is>
          <t>Суудлын автомашин (Passenger cars)</t>
        </is>
      </c>
      <c r="B17" s="8" t="inlineStr">
        <is>
          <t>8703</t>
        </is>
      </c>
      <c r="C17" s="15" t="n">
        <v>762229.1</v>
      </c>
      <c r="D17" s="15" t="n">
        <v>607433.2</v>
      </c>
      <c r="E17" s="13">
        <f>IFERROR(D17/C17-1,"")</f>
        <v/>
      </c>
      <c r="F17" s="15">
        <f>IFERROR(D17/1000,"")</f>
        <v/>
      </c>
    </row>
    <row r="18">
      <c r="A18" s="4" t="inlineStr">
        <is>
          <t>Цахилгаан эрчим хүч (Electricity)</t>
        </is>
      </c>
      <c r="B18" s="5" t="inlineStr">
        <is>
          <t>2716</t>
        </is>
      </c>
      <c r="C18" s="16" t="n">
        <v>121600.8</v>
      </c>
      <c r="D18" s="16" t="n">
        <v>142564.8</v>
      </c>
      <c r="E18" s="14">
        <f>IFERROR(D18/C18-1,"")</f>
        <v/>
      </c>
      <c r="F18" s="16">
        <f>IFERROR(D18/1000,"")</f>
        <v/>
      </c>
    </row>
    <row r="19">
      <c r="A19" s="7" t="inlineStr">
        <is>
          <t>Ачааны автомашин (Trucks)</t>
        </is>
      </c>
      <c r="B19" s="8" t="inlineStr">
        <is>
          <t>8704</t>
        </is>
      </c>
      <c r="C19" s="15" t="n">
        <v>326193.9</v>
      </c>
      <c r="D19" s="15" t="n">
        <v>269325.1</v>
      </c>
      <c r="E19" s="13">
        <f>IFERROR(D19/C19-1,"")</f>
        <v/>
      </c>
      <c r="F19" s="15">
        <f>IFERROR(D19/1000,"")</f>
        <v/>
      </c>
    </row>
    <row r="20">
      <c r="A20" s="4" t="inlineStr">
        <is>
          <t>Машин, тоног төхөөрөмж (Machinery &amp; equipment)</t>
        </is>
      </c>
      <c r="B20" s="5" t="inlineStr">
        <is>
          <t>sec16</t>
        </is>
      </c>
      <c r="C20" s="16" t="n">
        <v>1346721.679626</v>
      </c>
      <c r="D20" s="16" t="n">
        <v>1464975.443667</v>
      </c>
      <c r="E20" s="14">
        <f>IFERROR(D20/C20-1,"")</f>
        <v/>
      </c>
      <c r="F20" s="16">
        <f>IFERROR(D20/1000,"")</f>
        <v/>
      </c>
    </row>
    <row r="21">
      <c r="A21" s="7" t="inlineStr">
        <is>
          <t>Үндсэн төмөрлөг (Base metals)</t>
        </is>
      </c>
      <c r="B21" s="8" t="inlineStr">
        <is>
          <t>sec15</t>
        </is>
      </c>
      <c r="C21" s="15" t="n">
        <v>590032.726429</v>
      </c>
      <c r="D21" s="15" t="n">
        <v>662621.033035</v>
      </c>
      <c r="E21" s="13">
        <f>IFERROR(D21/C21-1,"")</f>
        <v/>
      </c>
      <c r="F21" s="15">
        <f>IFERROR(D21/1000,"")</f>
        <v/>
      </c>
    </row>
    <row r="22">
      <c r="A22" s="4" t="inlineStr">
        <is>
          <t>Хүнсний бүтээгдэхүүн (Food products)</t>
        </is>
      </c>
      <c r="B22" s="5" t="inlineStr">
        <is>
          <t>sec04</t>
        </is>
      </c>
      <c r="C22" s="16" t="n">
        <v>497805.796014</v>
      </c>
      <c r="D22" s="16" t="n">
        <v>531988.406678</v>
      </c>
      <c r="E22" s="14">
        <f>IFERROR(D22/C22-1,"")</f>
        <v/>
      </c>
      <c r="F22" s="16">
        <f>IFERROR(D22/1000,"")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6"/>
  <sheetViews>
    <sheetView workbookViewId="0">
      <pane ySplit="3" topLeftCell="A4" activePane="bottomLeft" state="frozen"/>
      <selection pane="bottomLeft" activeCell="A1" sqref="A1"/>
    </sheetView>
  </sheetViews>
  <sheetFormatPr baseColWidth="8" defaultRowHeight="15"/>
  <cols>
    <col width="9" customWidth="1" min="1" max="1"/>
    <col width="52" customWidth="1" min="2" max="2"/>
    <col width="17" customWidth="1" min="3" max="3"/>
    <col width="17" customWidth="1" min="4" max="4"/>
    <col width="11" customWidth="1" min="5" max="5"/>
    <col width="11" customWidth="1" min="6" max="6"/>
  </cols>
  <sheetData>
    <row r="1">
      <c r="A1" s="1" t="inlineStr">
        <is>
          <t>Худалдаа, хэсгээр (Trade by HS section)</t>
        </is>
      </c>
    </row>
    <row r="2">
      <c r="A2" s="2" t="inlineStr">
        <is>
          <t>Full sectional detail behind slide 9. Source: Customs sheet 3, thousand USD, cumulative both years. Export and import are separate tables, each ranked by its own current-year value; YoY, share and totals are formulas.</t>
        </is>
      </c>
    </row>
    <row r="4">
      <c r="A4" s="6" t="inlineStr">
        <is>
          <t>МЭДЭЭЛЛИЙН ОН САР / DATA AS OF:  Customs (gaali.mn) — 2026-07 (CURRENT)      [тайлант үе / reported month: 2026-07]</t>
        </is>
      </c>
    </row>
    <row r="6">
      <c r="A6" s="4" t="inlineStr">
        <is>
          <t>ЭКСПОРТ, хэсгээр (EXPORT by HS section)</t>
        </is>
      </c>
    </row>
    <row r="7">
      <c r="A7" s="5" t="inlineStr">
        <is>
          <t>Ranked by current-year export value. Total must equal the headline export figure on the Trade sheet.</t>
        </is>
      </c>
    </row>
    <row r="8">
      <c r="A8" s="3" t="inlineStr">
        <is>
          <t>Эрэмбэ (Rank)</t>
        </is>
      </c>
      <c r="B8" s="3" t="inlineStr">
        <is>
          <t>Хэсэг (HS section)</t>
        </is>
      </c>
      <c r="C8" s="3" t="inlineStr">
        <is>
          <t>Өмнөх он (Previous, k$)</t>
        </is>
      </c>
      <c r="D8" s="3" t="inlineStr">
        <is>
          <t>Тайлант он (Current, k$)</t>
        </is>
      </c>
      <c r="E8" s="3" t="inlineStr">
        <is>
          <t>Өсөлт (YoY)</t>
        </is>
      </c>
      <c r="F8" s="3" t="inlineStr">
        <is>
          <t>Хувь (Share)</t>
        </is>
      </c>
    </row>
    <row r="9">
      <c r="A9" s="5" t="n">
        <v>1</v>
      </c>
      <c r="B9" s="5" t="inlineStr">
        <is>
          <t>05 Эрдэс бүтээгдэхүүн (Mineral products)</t>
        </is>
      </c>
      <c r="C9" s="16" t="n">
        <v>6848988.423486</v>
      </c>
      <c r="D9" s="16" t="n">
        <v>11246856.775553</v>
      </c>
      <c r="E9" s="14">
        <f>IFERROR(D9/C9-1,"")</f>
        <v/>
      </c>
      <c r="F9" s="14">
        <f>IFERROR(D9/D$30,"")</f>
        <v/>
      </c>
    </row>
    <row r="10">
      <c r="A10" s="8" t="n">
        <v>2</v>
      </c>
      <c r="B10" s="8" t="inlineStr">
        <is>
          <t>14 Сувд, үнэт ба хагас үнэт чулуу, үнэт металл, гоёлын зүйлс, зоос (Natural or cultured pearls, precious or semi-precious stones)</t>
        </is>
      </c>
      <c r="C10" s="15" t="n">
        <v>478696.281061</v>
      </c>
      <c r="D10" s="15" t="n">
        <v>488697.602612</v>
      </c>
      <c r="E10" s="13">
        <f>IFERROR(D10/C10-1,"")</f>
        <v/>
      </c>
      <c r="F10" s="13">
        <f>IFERROR(D10/D$30,"")</f>
        <v/>
      </c>
    </row>
    <row r="11">
      <c r="A11" s="5" t="n">
        <v>3</v>
      </c>
      <c r="B11" s="5" t="inlineStr">
        <is>
          <t>11 Нэхмэлийн материал болон нэхмэл эдлэл (Textiles and textile articles)</t>
        </is>
      </c>
      <c r="C11" s="16" t="n">
        <v>102222.567134</v>
      </c>
      <c r="D11" s="16" t="n">
        <v>180781.495632</v>
      </c>
      <c r="E11" s="14">
        <f>IFERROR(D11/C11-1,"")</f>
        <v/>
      </c>
      <c r="F11" s="14">
        <f>IFERROR(D11/D$30,"")</f>
        <v/>
      </c>
    </row>
    <row r="12">
      <c r="A12" s="8" t="n">
        <v>4</v>
      </c>
      <c r="B12" s="8" t="inlineStr">
        <is>
          <t>15 Үндсэн төмөрлөг болон түүгээр хийсэн бүтээгдэхүүн (Base metals and articles thereof)</t>
        </is>
      </c>
      <c r="C12" s="15" t="n">
        <v>103627.99504</v>
      </c>
      <c r="D12" s="15" t="n">
        <v>82424.92430699999</v>
      </c>
      <c r="E12" s="13">
        <f>IFERROR(D12/C12-1,"")</f>
        <v/>
      </c>
      <c r="F12" s="13">
        <f>IFERROR(D12/D$30,"")</f>
        <v/>
      </c>
    </row>
    <row r="13">
      <c r="A13" s="5" t="n">
        <v>5</v>
      </c>
      <c r="B13" s="5" t="inlineStr">
        <is>
          <t>16 Машин, механик тоног төхөөрөмж ба эд анги, цахилгаан хэрэгсэл, тэдг (Machinery and mechanical appliances; electrical equipments, )</t>
        </is>
      </c>
      <c r="C13" s="16" t="n">
        <v>35201.891265</v>
      </c>
      <c r="D13" s="16" t="n">
        <v>57189.475759</v>
      </c>
      <c r="E13" s="14">
        <f>IFERROR(D13/C13-1,"")</f>
        <v/>
      </c>
      <c r="F13" s="14">
        <f>IFERROR(D13/D$30,"")</f>
        <v/>
      </c>
    </row>
    <row r="14">
      <c r="A14" s="8" t="n">
        <v>6</v>
      </c>
      <c r="B14" s="8" t="inlineStr">
        <is>
          <t>01 Амьд мал, амьтад, мал амьтдын гаралтай бүтээгдэхүүн (Live animals, animal products)</t>
        </is>
      </c>
      <c r="C14" s="15" t="n">
        <v>55073.601435</v>
      </c>
      <c r="D14" s="15" t="n">
        <v>46187.249024</v>
      </c>
      <c r="E14" s="13">
        <f>IFERROR(D14/C14-1,"")</f>
        <v/>
      </c>
      <c r="F14" s="13">
        <f>IFERROR(D14/D$30,"")</f>
        <v/>
      </c>
    </row>
    <row r="15">
      <c r="A15" s="5" t="n">
        <v>7</v>
      </c>
      <c r="B15" s="5" t="inlineStr">
        <is>
          <t>04 Хүнсний бэлэн бүтээгдэхүүн (Prepared foodstuffs)</t>
        </is>
      </c>
      <c r="C15" s="16" t="n">
        <v>33974.85049</v>
      </c>
      <c r="D15" s="16" t="n">
        <v>44206.419065</v>
      </c>
      <c r="E15" s="14">
        <f>IFERROR(D15/C15-1,"")</f>
        <v/>
      </c>
      <c r="F15" s="14">
        <f>IFERROR(D15/D$30,"")</f>
        <v/>
      </c>
    </row>
    <row r="16">
      <c r="A16" s="8" t="n">
        <v>8</v>
      </c>
      <c r="B16" s="8" t="inlineStr">
        <is>
          <t>17 Авто, агаарын ба усан замын тээврийн хэрэгсэл, тэдгээрийн эд, анги (Vehicles, aircraft, vessets and parts thereof)</t>
        </is>
      </c>
      <c r="C16" s="15" t="n">
        <v>15818.45407</v>
      </c>
      <c r="D16" s="15" t="n">
        <v>31953.275539</v>
      </c>
      <c r="E16" s="13">
        <f>IFERROR(D16/C16-1,"")</f>
        <v/>
      </c>
      <c r="F16" s="13">
        <f>IFERROR(D16/D$30,"")</f>
        <v/>
      </c>
    </row>
    <row r="17">
      <c r="A17" s="5" t="n">
        <v>9</v>
      </c>
      <c r="B17" s="5" t="inlineStr">
        <is>
          <t>02 Ургамлын гаралтай бүтээгдэхүүн (Vegetable products)</t>
        </is>
      </c>
      <c r="C17" s="16" t="n">
        <v>63966.441562</v>
      </c>
      <c r="D17" s="16" t="n">
        <v>10468.763023</v>
      </c>
      <c r="E17" s="14">
        <f>IFERROR(D17/C17-1,"")</f>
        <v/>
      </c>
      <c r="F17" s="14">
        <f>IFERROR(D17/D$30,"")</f>
        <v/>
      </c>
    </row>
    <row r="18">
      <c r="A18" s="8" t="n">
        <v>10</v>
      </c>
      <c r="B18" s="8" t="inlineStr">
        <is>
          <t>03 Мал амьтны болон ургамлын гаралтай тос, өөх (Animal or vegetable fats oils)</t>
        </is>
      </c>
      <c r="C18" s="15" t="n">
        <v>2301.533556</v>
      </c>
      <c r="D18" s="15" t="n">
        <v>5170.878251</v>
      </c>
      <c r="E18" s="13">
        <f>IFERROR(D18/C18-1,"")</f>
        <v/>
      </c>
      <c r="F18" s="13">
        <f>IFERROR(D18/D$30,"")</f>
        <v/>
      </c>
    </row>
    <row r="19">
      <c r="A19" s="5" t="n">
        <v>11</v>
      </c>
      <c r="B19" s="5" t="inlineStr">
        <is>
          <t>07 Хуванцар болон түүгээр хийсэн зүйлс; хаймар болон түүгээр хийсэн зү (Plastics and rubber and articles thereof)</t>
        </is>
      </c>
      <c r="C19" s="16" t="n">
        <v>6363.168428</v>
      </c>
      <c r="D19" s="16" t="n">
        <v>3416.182191</v>
      </c>
      <c r="E19" s="14">
        <f>IFERROR(D19/C19-1,"")</f>
        <v/>
      </c>
      <c r="F19" s="14">
        <f>IFERROR(D19/D$30,"")</f>
        <v/>
      </c>
    </row>
    <row r="20">
      <c r="A20" s="8" t="n">
        <v>12</v>
      </c>
      <c r="B20" s="8" t="inlineStr">
        <is>
          <t>18 Хараа зүй, гэрэл зураг, хэмжүүр, хяналт, эмнэлгийн багаж хэрэгсэл,  (Optical, photographic, measuring, checking, medical instrume)</t>
        </is>
      </c>
      <c r="C20" s="15" t="n">
        <v>1737.656131</v>
      </c>
      <c r="D20" s="15" t="n">
        <v>2928.34122</v>
      </c>
      <c r="E20" s="13">
        <f>IFERROR(D20/C20-1,"")</f>
        <v/>
      </c>
      <c r="F20" s="13">
        <f>IFERROR(D20/D$30,"")</f>
        <v/>
      </c>
    </row>
    <row r="21">
      <c r="A21" s="5" t="n">
        <v>13</v>
      </c>
      <c r="B21" s="5" t="inlineStr">
        <is>
          <t>08 Арьс ширэн түүхий эд болон боловсруулсан арьс, шир, ангийн үс, эдгэ (Raw hides and skins, leather, furskins and articles thereof)</t>
        </is>
      </c>
      <c r="C21" s="16" t="n">
        <v>619.341893</v>
      </c>
      <c r="D21" s="16" t="n">
        <v>2157.691122</v>
      </c>
      <c r="E21" s="14">
        <f>IFERROR(D21/C21-1,"")</f>
        <v/>
      </c>
      <c r="F21" s="14">
        <f>IFERROR(D21/D$30,"")</f>
        <v/>
      </c>
    </row>
    <row r="22">
      <c r="A22" s="8" t="n">
        <v>14</v>
      </c>
      <c r="B22" s="8" t="inlineStr">
        <is>
          <t>12 Гутал, малгай, төрөл бүрийн бусад зүйл (Footwear, headwear)</t>
        </is>
      </c>
      <c r="C22" s="15" t="n">
        <v>1039.15372</v>
      </c>
      <c r="D22" s="15" t="n">
        <v>1257.444783</v>
      </c>
      <c r="E22" s="13">
        <f>IFERROR(D22/C22-1,"")</f>
        <v/>
      </c>
      <c r="F22" s="13">
        <f>IFERROR(D22/D$30,"")</f>
        <v/>
      </c>
    </row>
    <row r="23">
      <c r="A23" s="5" t="n">
        <v>15</v>
      </c>
      <c r="B23" s="5" t="inlineStr">
        <is>
          <t>20 Аж үйлдвэрийн төрөл бүрийн бараа (Miscellaneous manufactured articles)</t>
        </is>
      </c>
      <c r="C23" s="16" t="n">
        <v>973.35816</v>
      </c>
      <c r="D23" s="16" t="n">
        <v>1036.73798</v>
      </c>
      <c r="E23" s="14">
        <f>IFERROR(D23/C23-1,"")</f>
        <v/>
      </c>
      <c r="F23" s="14">
        <f>IFERROR(D23/D$30,"")</f>
        <v/>
      </c>
    </row>
    <row r="24">
      <c r="A24" s="8" t="n">
        <v>16</v>
      </c>
      <c r="B24" s="8" t="inlineStr">
        <is>
          <t>06 Химийн болон түүнтэй холбоотой үйлдвэрийн бүтээгдэхүүн (Products of the chemical or allied industries)</t>
        </is>
      </c>
      <c r="C24" s="15" t="n">
        <v>754.682579</v>
      </c>
      <c r="D24" s="15" t="n">
        <v>882.681211</v>
      </c>
      <c r="E24" s="13">
        <f>IFERROR(D24/C24-1,"")</f>
        <v/>
      </c>
      <c r="F24" s="13">
        <f>IFERROR(D24/D$30,"")</f>
        <v/>
      </c>
    </row>
    <row r="25">
      <c r="A25" s="5" t="n">
        <v>17</v>
      </c>
      <c r="B25" s="5" t="inlineStr">
        <is>
          <t>21 Урлагийн бүтээл, цуглуулга хийх, зориулалтын зүйлс ба эртний үнэт д (Works of art, collectors pieces and antiques)</t>
        </is>
      </c>
      <c r="C25" s="16" t="n">
        <v>5.493387</v>
      </c>
      <c r="D25" s="16" t="n">
        <v>163.98936</v>
      </c>
      <c r="E25" s="14">
        <f>IFERROR(D25/C25-1,"")</f>
        <v/>
      </c>
      <c r="F25" s="14">
        <f>IFERROR(D25/D$30,"")</f>
        <v/>
      </c>
    </row>
    <row r="26">
      <c r="A26" s="8" t="n">
        <v>18</v>
      </c>
      <c r="B26" s="8" t="inlineStr">
        <is>
          <t>09 Мод, модон эдлэл (Wood and articles thereof)</t>
        </is>
      </c>
      <c r="C26" s="15" t="n">
        <v>29.555933</v>
      </c>
      <c r="D26" s="15" t="n">
        <v>109.354325</v>
      </c>
      <c r="E26" s="13">
        <f>IFERROR(D26/C26-1,"")</f>
        <v/>
      </c>
      <c r="F26" s="13">
        <f>IFERROR(D26/D$30,"")</f>
        <v/>
      </c>
    </row>
    <row r="27">
      <c r="A27" s="5" t="n">
        <v>19</v>
      </c>
      <c r="B27" s="5" t="inlineStr">
        <is>
          <t>13 Чулуу, гөлтгөнө, шөрмөсөн чулуу, гялтгануур болон тэдгээртэй төстэй (Articles of stone, flaster, cement, asbestos, mica or simira)</t>
        </is>
      </c>
      <c r="C27" s="16" t="n">
        <v>123.038436</v>
      </c>
      <c r="D27" s="16" t="n">
        <v>31.23868</v>
      </c>
      <c r="E27" s="14">
        <f>IFERROR(D27/C27-1,"")</f>
        <v/>
      </c>
      <c r="F27" s="14">
        <f>IFERROR(D27/D$30,"")</f>
        <v/>
      </c>
    </row>
    <row r="28">
      <c r="A28" s="8" t="n">
        <v>20</v>
      </c>
      <c r="B28" s="8" t="inlineStr">
        <is>
          <t>10 Цаас болон картон, тэдгээрээр хийсэн зүйлс (Pulp of wood)</t>
        </is>
      </c>
      <c r="C28" s="15" t="n">
        <v>17.729025</v>
      </c>
      <c r="D28" s="15" t="n">
        <v>11.552394</v>
      </c>
      <c r="E28" s="13">
        <f>IFERROR(D28/C28-1,"")</f>
        <v/>
      </c>
      <c r="F28" s="13">
        <f>IFERROR(D28/D$30,"")</f>
        <v/>
      </c>
    </row>
    <row r="29">
      <c r="A29" s="5" t="n">
        <v>21</v>
      </c>
      <c r="B29" s="5" t="inlineStr">
        <is>
          <t>Бусад (Other)</t>
        </is>
      </c>
      <c r="C29" s="16" t="n">
        <v>0</v>
      </c>
      <c r="D29" s="16" t="n">
        <v>0</v>
      </c>
      <c r="E29" s="14" t="n"/>
      <c r="F29" s="14" t="n"/>
    </row>
    <row r="30">
      <c r="B30" s="4" t="inlineStr">
        <is>
          <t>Нийт (Total)</t>
        </is>
      </c>
      <c r="C30" s="32">
        <f>SUM(C9:C29)</f>
        <v/>
      </c>
      <c r="D30" s="32">
        <f>SUM(D9:D29)</f>
        <v/>
      </c>
      <c r="E30" s="29">
        <f>IFERROR(D30/C30-1,"")</f>
        <v/>
      </c>
      <c r="F30" s="29">
        <f>SUM(F9:F29)</f>
        <v/>
      </c>
    </row>
    <row r="32">
      <c r="A32" s="4" t="inlineStr">
        <is>
          <t>ИМПОРТ, хэсгээр (IMPORT by HS section)</t>
        </is>
      </c>
    </row>
    <row r="33">
      <c r="A33" s="5" t="inlineStr">
        <is>
          <t>Ranked independently by current-year import value -- the order differs from the export table by design.</t>
        </is>
      </c>
    </row>
    <row r="34">
      <c r="A34" s="3" t="inlineStr">
        <is>
          <t>Эрэмбэ (Rank)</t>
        </is>
      </c>
      <c r="B34" s="3" t="inlineStr">
        <is>
          <t>Хэсэг (HS section)</t>
        </is>
      </c>
      <c r="C34" s="3" t="inlineStr">
        <is>
          <t>Өмнөх он (Previous, k$)</t>
        </is>
      </c>
      <c r="D34" s="3" t="inlineStr">
        <is>
          <t>Тайлант он (Current, k$)</t>
        </is>
      </c>
      <c r="E34" s="3" t="inlineStr">
        <is>
          <t>Өсөлт (YoY)</t>
        </is>
      </c>
      <c r="F34" s="3" t="inlineStr">
        <is>
          <t>Хувь (Share)</t>
        </is>
      </c>
    </row>
    <row r="35">
      <c r="A35" s="5" t="n">
        <v>1</v>
      </c>
      <c r="B35" s="5" t="inlineStr">
        <is>
          <t>05 Эрдэс бүтээгдэхүүн (Mineral products)</t>
        </is>
      </c>
      <c r="C35" s="16" t="n">
        <v>1322392.930284</v>
      </c>
      <c r="D35" s="16" t="n">
        <v>1795032.671785</v>
      </c>
      <c r="E35" s="14">
        <f>IFERROR(D35/C35-1,"")</f>
        <v/>
      </c>
      <c r="F35" s="14">
        <f>IFERROR(D35/D$56,"")</f>
        <v/>
      </c>
    </row>
    <row r="36">
      <c r="A36" s="8" t="n">
        <v>2</v>
      </c>
      <c r="B36" s="8" t="inlineStr">
        <is>
          <t>16 Машин, механик тоног төхөөрөмж ба эд анги, цахилгаан хэрэгсэл, тэдг (Machinery and mechanical appliances; electrical equipments, )</t>
        </is>
      </c>
      <c r="C36" s="15" t="n">
        <v>1346721.679626</v>
      </c>
      <c r="D36" s="15" t="n">
        <v>1464975.443667</v>
      </c>
      <c r="E36" s="13">
        <f>IFERROR(D36/C36-1,"")</f>
        <v/>
      </c>
      <c r="F36" s="13">
        <f>IFERROR(D36/D$56,"")</f>
        <v/>
      </c>
    </row>
    <row r="37">
      <c r="A37" s="5" t="n">
        <v>3</v>
      </c>
      <c r="B37" s="5" t="inlineStr">
        <is>
          <t>17 Авто, агаарын ба усан замын тээврийн хэрэгсэл, тэдгээрийн эд, анги (Vehicles, aircraft, vessets and parts thereof)</t>
        </is>
      </c>
      <c r="C37" s="16" t="n">
        <v>1383507.149347</v>
      </c>
      <c r="D37" s="16" t="n">
        <v>1137721.429119</v>
      </c>
      <c r="E37" s="14">
        <f>IFERROR(D37/C37-1,"")</f>
        <v/>
      </c>
      <c r="F37" s="14">
        <f>IFERROR(D37/D$56,"")</f>
        <v/>
      </c>
    </row>
    <row r="38">
      <c r="A38" s="8" t="n">
        <v>4</v>
      </c>
      <c r="B38" s="8" t="inlineStr">
        <is>
          <t>15 Үндсэн төмөрлөг болон түүгээр хийсэн бүтээгдэхүүн (Base metals and articles thereof)</t>
        </is>
      </c>
      <c r="C38" s="15" t="n">
        <v>590032.726429</v>
      </c>
      <c r="D38" s="15" t="n">
        <v>662621.033035</v>
      </c>
      <c r="E38" s="13">
        <f>IFERROR(D38/C38-1,"")</f>
        <v/>
      </c>
      <c r="F38" s="13">
        <f>IFERROR(D38/D$56,"")</f>
        <v/>
      </c>
    </row>
    <row r="39">
      <c r="A39" s="5" t="n">
        <v>5</v>
      </c>
      <c r="B39" s="5" t="inlineStr">
        <is>
          <t>04 Хүнсний бэлэн бүтээгдэхүүн (Prepared foodstuffs)</t>
        </is>
      </c>
      <c r="C39" s="16" t="n">
        <v>497805.796014</v>
      </c>
      <c r="D39" s="16" t="n">
        <v>531988.406678</v>
      </c>
      <c r="E39" s="14">
        <f>IFERROR(D39/C39-1,"")</f>
        <v/>
      </c>
      <c r="F39" s="14">
        <f>IFERROR(D39/D$56,"")</f>
        <v/>
      </c>
    </row>
    <row r="40">
      <c r="A40" s="8" t="n">
        <v>6</v>
      </c>
      <c r="B40" s="8" t="inlineStr">
        <is>
          <t>06 Химийн болон түүнтэй холбоотой үйлдвэрийн бүтээгдэхүүн (Products of the chemical or allied industries)</t>
        </is>
      </c>
      <c r="C40" s="15" t="n">
        <v>373473.610693</v>
      </c>
      <c r="D40" s="15" t="n">
        <v>412892.774403</v>
      </c>
      <c r="E40" s="13">
        <f>IFERROR(D40/C40-1,"")</f>
        <v/>
      </c>
      <c r="F40" s="13">
        <f>IFERROR(D40/D$56,"")</f>
        <v/>
      </c>
    </row>
    <row r="41">
      <c r="A41" s="5" t="n">
        <v>7</v>
      </c>
      <c r="B41" s="5" t="inlineStr">
        <is>
          <t>07 Хуванцар болон түүгээр хийсэн зүйлс; хаймар болон түүгээр хийсэн зү (Plastics and rubber and articles thereof)</t>
        </is>
      </c>
      <c r="C41" s="16" t="n">
        <v>218553.608795</v>
      </c>
      <c r="D41" s="16" t="n">
        <v>299082.468506</v>
      </c>
      <c r="E41" s="14">
        <f>IFERROR(D41/C41-1,"")</f>
        <v/>
      </c>
      <c r="F41" s="14">
        <f>IFERROR(D41/D$56,"")</f>
        <v/>
      </c>
    </row>
    <row r="42">
      <c r="A42" s="8" t="n">
        <v>8</v>
      </c>
      <c r="B42" s="8" t="inlineStr">
        <is>
          <t>13 Чулуу, гөлтгөнө, шөрмөсөн чулуу, гялтгануур болон тэдгээртэй төстэй (Articles of stone, flaster, cement, asbestos, mica or simira)</t>
        </is>
      </c>
      <c r="C42" s="15" t="n">
        <v>143887.17789</v>
      </c>
      <c r="D42" s="15" t="n">
        <v>155066.762348</v>
      </c>
      <c r="E42" s="13">
        <f>IFERROR(D42/C42-1,"")</f>
        <v/>
      </c>
      <c r="F42" s="13">
        <f>IFERROR(D42/D$56,"")</f>
        <v/>
      </c>
    </row>
    <row r="43">
      <c r="A43" s="5" t="n">
        <v>9</v>
      </c>
      <c r="B43" s="5" t="inlineStr">
        <is>
          <t>02 Ургамлын гаралтай бүтээгдэхүүн (Vegetable products)</t>
        </is>
      </c>
      <c r="C43" s="16" t="n">
        <v>105041.449071</v>
      </c>
      <c r="D43" s="16" t="n">
        <v>146577.447565</v>
      </c>
      <c r="E43" s="14">
        <f>IFERROR(D43/C43-1,"")</f>
        <v/>
      </c>
      <c r="F43" s="14">
        <f>IFERROR(D43/D$56,"")</f>
        <v/>
      </c>
    </row>
    <row r="44">
      <c r="A44" s="8" t="n">
        <v>10</v>
      </c>
      <c r="B44" s="8" t="inlineStr">
        <is>
          <t>18 Хараа зүй, гэрэл зураг, хэмжүүр, хяналт, эмнэлгийн багаж хэрэгсэл,  (Optical, photographic, measuring, checking, medical instrume)</t>
        </is>
      </c>
      <c r="C44" s="15" t="n">
        <v>92475.56563500001</v>
      </c>
      <c r="D44" s="15" t="n">
        <v>97453.025345</v>
      </c>
      <c r="E44" s="13">
        <f>IFERROR(D44/C44-1,"")</f>
        <v/>
      </c>
      <c r="F44" s="13">
        <f>IFERROR(D44/D$56,"")</f>
        <v/>
      </c>
    </row>
    <row r="45">
      <c r="A45" s="5" t="n">
        <v>11</v>
      </c>
      <c r="B45" s="5" t="inlineStr">
        <is>
          <t>20 Аж үйлдвэрийн төрөл бүрийн бараа (Miscellaneous manufactured articles)</t>
        </is>
      </c>
      <c r="C45" s="16" t="n">
        <v>82908.748639</v>
      </c>
      <c r="D45" s="16" t="n">
        <v>95924.827238</v>
      </c>
      <c r="E45" s="14">
        <f>IFERROR(D45/C45-1,"")</f>
        <v/>
      </c>
      <c r="F45" s="14">
        <f>IFERROR(D45/D$56,"")</f>
        <v/>
      </c>
    </row>
    <row r="46">
      <c r="A46" s="8" t="n">
        <v>12</v>
      </c>
      <c r="B46" s="8" t="inlineStr">
        <is>
          <t>01 Амьд мал, амьтад, мал амьтдын гаралтай бүтээгдэхүүн (Live animals, animal products)</t>
        </is>
      </c>
      <c r="C46" s="15" t="n">
        <v>81569.35494799999</v>
      </c>
      <c r="D46" s="15" t="n">
        <v>95350.44674499999</v>
      </c>
      <c r="E46" s="13">
        <f>IFERROR(D46/C46-1,"")</f>
        <v/>
      </c>
      <c r="F46" s="13">
        <f>IFERROR(D46/D$56,"")</f>
        <v/>
      </c>
    </row>
    <row r="47">
      <c r="A47" s="5" t="n">
        <v>13</v>
      </c>
      <c r="B47" s="5" t="inlineStr">
        <is>
          <t>09 Мод, модон эдлэл (Wood and articles thereof)</t>
        </is>
      </c>
      <c r="C47" s="16" t="n">
        <v>70082.394124</v>
      </c>
      <c r="D47" s="16" t="n">
        <v>75735.60880099999</v>
      </c>
      <c r="E47" s="14">
        <f>IFERROR(D47/C47-1,"")</f>
        <v/>
      </c>
      <c r="F47" s="14">
        <f>IFERROR(D47/D$56,"")</f>
        <v/>
      </c>
    </row>
    <row r="48">
      <c r="A48" s="8" t="n">
        <v>14</v>
      </c>
      <c r="B48" s="8" t="inlineStr">
        <is>
          <t>11 Нэхмэлийн материал болон нэхмэл эдлэл (Textiles and textile articles)</t>
        </is>
      </c>
      <c r="C48" s="15" t="n">
        <v>65858.288044</v>
      </c>
      <c r="D48" s="15" t="n">
        <v>70537.822533</v>
      </c>
      <c r="E48" s="13">
        <f>IFERROR(D48/C48-1,"")</f>
        <v/>
      </c>
      <c r="F48" s="13">
        <f>IFERROR(D48/D$56,"")</f>
        <v/>
      </c>
    </row>
    <row r="49">
      <c r="A49" s="5" t="n">
        <v>15</v>
      </c>
      <c r="B49" s="5" t="inlineStr">
        <is>
          <t>10 Цаас болон картон, тэдгээрээр хийсэн зүйлс (Pulp of wood)</t>
        </is>
      </c>
      <c r="C49" s="16" t="n">
        <v>43857.383363</v>
      </c>
      <c r="D49" s="16" t="n">
        <v>46700.885773</v>
      </c>
      <c r="E49" s="14">
        <f>IFERROR(D49/C49-1,"")</f>
        <v/>
      </c>
      <c r="F49" s="14">
        <f>IFERROR(D49/D$56,"")</f>
        <v/>
      </c>
    </row>
    <row r="50">
      <c r="A50" s="8" t="n">
        <v>16</v>
      </c>
      <c r="B50" s="8" t="inlineStr">
        <is>
          <t>03 Мал амьтны болон ургамлын гаралтай тос, өөх (Animal or vegetable fats oils)</t>
        </is>
      </c>
      <c r="C50" s="15" t="n">
        <v>29395.565662</v>
      </c>
      <c r="D50" s="15" t="n">
        <v>30708.474567</v>
      </c>
      <c r="E50" s="13">
        <f>IFERROR(D50/C50-1,"")</f>
        <v/>
      </c>
      <c r="F50" s="13">
        <f>IFERROR(D50/D$56,"")</f>
        <v/>
      </c>
    </row>
    <row r="51">
      <c r="A51" s="5" t="n">
        <v>17</v>
      </c>
      <c r="B51" s="5" t="inlineStr">
        <is>
          <t>12 Гутал, малгай, төрөл бүрийн бусад зүйл (Footwear, headwear)</t>
        </is>
      </c>
      <c r="C51" s="16" t="n">
        <v>22700.590151</v>
      </c>
      <c r="D51" s="16" t="n">
        <v>22077.900893</v>
      </c>
      <c r="E51" s="14">
        <f>IFERROR(D51/C51-1,"")</f>
        <v/>
      </c>
      <c r="F51" s="14">
        <f>IFERROR(D51/D$56,"")</f>
        <v/>
      </c>
    </row>
    <row r="52">
      <c r="A52" s="8" t="n">
        <v>18</v>
      </c>
      <c r="B52" s="8" t="inlineStr">
        <is>
          <t>14 Сувд, үнэт ба хагас үнэт чулуу, үнэт металл, гоёлын зүйлс, зоос (Natural or cultured pearls, precious or semi-precious stones)</t>
        </is>
      </c>
      <c r="C52" s="15" t="n">
        <v>2518.617125</v>
      </c>
      <c r="D52" s="15" t="n">
        <v>8861.791370000001</v>
      </c>
      <c r="E52" s="13">
        <f>IFERROR(D52/C52-1,"")</f>
        <v/>
      </c>
      <c r="F52" s="13">
        <f>IFERROR(D52/D$56,"")</f>
        <v/>
      </c>
    </row>
    <row r="53">
      <c r="A53" s="5" t="n">
        <v>19</v>
      </c>
      <c r="B53" s="5" t="inlineStr">
        <is>
          <t>08 Арьс ширэн түүхий эд болон боловсруулсан арьс, шир, ангийн үс, эдгэ (Raw hides and skins, leather, furskins and articles thereof)</t>
        </is>
      </c>
      <c r="C53" s="16" t="n">
        <v>5116.895263</v>
      </c>
      <c r="D53" s="16" t="n">
        <v>5486.297638</v>
      </c>
      <c r="E53" s="14">
        <f>IFERROR(D53/C53-1,"")</f>
        <v/>
      </c>
      <c r="F53" s="14">
        <f>IFERROR(D53/D$56,"")</f>
        <v/>
      </c>
    </row>
    <row r="54">
      <c r="A54" s="8" t="n">
        <v>20</v>
      </c>
      <c r="B54" s="8" t="inlineStr">
        <is>
          <t>Бусад (Other)</t>
        </is>
      </c>
      <c r="C54" s="15" t="n">
        <v>2737.50725</v>
      </c>
      <c r="D54" s="15" t="n">
        <v>3008.218902</v>
      </c>
      <c r="E54" s="13">
        <f>IFERROR(D54/C54-1,"")</f>
        <v/>
      </c>
      <c r="F54" s="13">
        <f>IFERROR(D54/D$56,"")</f>
        <v/>
      </c>
    </row>
    <row r="55">
      <c r="A55" s="5" t="n">
        <v>21</v>
      </c>
      <c r="B55" s="5" t="inlineStr">
        <is>
          <t>21 Урлагийн бүтээл, цуглуулга хийх, зориулалтын зүйлс ба эртний үнэт д (Works of art, collectors pieces and antiques)</t>
        </is>
      </c>
      <c r="C55" s="16" t="n">
        <v>147.152242</v>
      </c>
      <c r="D55" s="16" t="n">
        <v>259.635534</v>
      </c>
      <c r="E55" s="14">
        <f>IFERROR(D55/C55-1,"")</f>
        <v/>
      </c>
      <c r="F55" s="14">
        <f>IFERROR(D55/D$56,"")</f>
        <v/>
      </c>
    </row>
    <row r="56">
      <c r="B56" s="4" t="inlineStr">
        <is>
          <t>Нийт (Total)</t>
        </is>
      </c>
      <c r="C56" s="32">
        <f>SUM(C35:C55)</f>
        <v/>
      </c>
      <c r="D56" s="32">
        <f>SUM(D35:D55)</f>
        <v/>
      </c>
      <c r="E56" s="29">
        <f>IFERROR(D56/C56-1,"")</f>
        <v/>
      </c>
      <c r="F56" s="29">
        <f>SUM(F35:F55)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1"/>
  <sheetViews>
    <sheetView workbookViewId="0">
      <pane ySplit="3" topLeftCell="A4" activePane="bottomLeft" state="frozen"/>
      <selection pane="bottomLeft" activeCell="A1" sqref="A1"/>
    </sheetView>
  </sheetViews>
  <sheetFormatPr baseColWidth="8" defaultRowHeight="15"/>
  <cols>
    <col width="22" customWidth="1" min="1" max="1"/>
    <col width="8" customWidth="1" min="2" max="2"/>
    <col width="8" customWidth="1" min="3" max="3"/>
    <col width="12" customWidth="1" min="4" max="4"/>
    <col width="10" customWidth="1" min="5" max="5"/>
    <col width="10" customWidth="1" min="6" max="6"/>
    <col width="30" customWidth="1" min="7" max="7"/>
  </cols>
  <sheetData>
    <row r="1">
      <c r="A1" s="1" t="inlineStr">
        <is>
          <t>Border prices (export unit values)</t>
        </is>
      </c>
    </row>
    <row r="2">
      <c r="A2" s="2" t="inlineStr">
        <is>
          <t>Deck slide 11. Unit value = Δcumulative amount / Δcumulative quantity per month, from Customs sheet 8. Series fills in as monthly workbooks are cached by the ingestor.</t>
        </is>
      </c>
    </row>
    <row r="4">
      <c r="A4" s="6" t="inlineStr">
        <is>
          <t>МЭДЭЭЛЛИЙН ОН САР / DATA AS OF:  Customs (gaali.mn) — 2026-07 (CURRENT)      [тайлант үе / reported month: 2026-07]</t>
        </is>
      </c>
    </row>
    <row r="6">
      <c r="A6" s="3" t="inlineStr">
        <is>
          <t>Бараа (Commodity)</t>
        </is>
      </c>
      <c r="B6" s="3" t="inlineStr">
        <is>
          <t>Он (Year)</t>
        </is>
      </c>
      <c r="C6" s="3" t="inlineStr">
        <is>
          <t>Сар (Month)</t>
        </is>
      </c>
      <c r="D6" s="3" t="inlineStr">
        <is>
          <t>Үнэ (Price)</t>
        </is>
      </c>
      <c r="E6" s="3" t="inlineStr">
        <is>
          <t>Нэгж (Unit)</t>
        </is>
      </c>
      <c r="F6" s="3" t="inlineStr">
        <is>
          <t>Өсөлт (YoY)</t>
        </is>
      </c>
      <c r="G6" s="3" t="inlineStr">
        <is>
          <t>Basis</t>
        </is>
      </c>
    </row>
    <row r="7">
      <c r="A7" s="5" t="inlineStr">
        <is>
          <t>Нүүрс (Coal)</t>
        </is>
      </c>
      <c r="B7" s="5" t="n">
        <v>2024</v>
      </c>
      <c r="C7" s="5" t="n">
        <v>1</v>
      </c>
      <c r="D7" s="16" t="n">
        <v>121.8</v>
      </c>
      <c r="E7" s="5" t="inlineStr">
        <is>
          <t>USD/t</t>
        </is>
      </c>
      <c r="F7" s="14" t="n"/>
      <c r="G7" s="5" t="inlineStr">
        <is>
          <t>monthly</t>
        </is>
      </c>
    </row>
    <row r="8">
      <c r="A8" s="8" t="inlineStr">
        <is>
          <t>Нүүрс (Coal)</t>
        </is>
      </c>
      <c r="B8" s="8" t="n">
        <v>2024</v>
      </c>
      <c r="C8" s="8" t="n">
        <v>2</v>
      </c>
      <c r="D8" s="15" t="n">
        <v>132.6</v>
      </c>
      <c r="E8" s="8" t="inlineStr">
        <is>
          <t>USD/t</t>
        </is>
      </c>
      <c r="F8" s="13" t="n"/>
      <c r="G8" s="8" t="inlineStr">
        <is>
          <t>monthly</t>
        </is>
      </c>
    </row>
    <row r="9">
      <c r="A9" s="5" t="inlineStr">
        <is>
          <t>Нүүрс (Coal)</t>
        </is>
      </c>
      <c r="B9" s="5" t="n">
        <v>2024</v>
      </c>
      <c r="C9" s="5" t="n">
        <v>3</v>
      </c>
      <c r="D9" s="16" t="n">
        <v>124.5</v>
      </c>
      <c r="E9" s="5" t="inlineStr">
        <is>
          <t>USD/t</t>
        </is>
      </c>
      <c r="F9" s="14" t="n"/>
      <c r="G9" s="5" t="inlineStr">
        <is>
          <t>monthly</t>
        </is>
      </c>
    </row>
    <row r="10">
      <c r="A10" s="8" t="inlineStr">
        <is>
          <t>Нүүрс (Coal)</t>
        </is>
      </c>
      <c r="B10" s="8" t="n">
        <v>2024</v>
      </c>
      <c r="C10" s="8" t="n">
        <v>4</v>
      </c>
      <c r="D10" s="15" t="n">
        <v>114.4</v>
      </c>
      <c r="E10" s="8" t="inlineStr">
        <is>
          <t>USD/t</t>
        </is>
      </c>
      <c r="F10" s="13" t="n"/>
      <c r="G10" s="8" t="inlineStr">
        <is>
          <t>monthly</t>
        </is>
      </c>
    </row>
    <row r="11">
      <c r="A11" s="5" t="inlineStr">
        <is>
          <t>Нүүрс (Coal)</t>
        </is>
      </c>
      <c r="B11" s="5" t="n">
        <v>2024</v>
      </c>
      <c r="C11" s="5" t="n">
        <v>5</v>
      </c>
      <c r="D11" s="16" t="n">
        <v>114.6</v>
      </c>
      <c r="E11" s="5" t="inlineStr">
        <is>
          <t>USD/t</t>
        </is>
      </c>
      <c r="F11" s="14" t="n"/>
      <c r="G11" s="5" t="inlineStr">
        <is>
          <t>monthly</t>
        </is>
      </c>
    </row>
    <row r="12">
      <c r="A12" s="8" t="inlineStr">
        <is>
          <t>Нүүрс (Coal)</t>
        </is>
      </c>
      <c r="B12" s="8" t="n">
        <v>2024</v>
      </c>
      <c r="C12" s="8" t="n">
        <v>6</v>
      </c>
      <c r="D12" s="15" t="n">
        <v>110.3</v>
      </c>
      <c r="E12" s="8" t="inlineStr">
        <is>
          <t>USD/t</t>
        </is>
      </c>
      <c r="F12" s="13" t="n"/>
      <c r="G12" s="8" t="inlineStr">
        <is>
          <t>monthly</t>
        </is>
      </c>
    </row>
    <row r="13">
      <c r="A13" s="5" t="inlineStr">
        <is>
          <t>Нүүрс (Coal)</t>
        </is>
      </c>
      <c r="B13" s="5" t="n">
        <v>2024</v>
      </c>
      <c r="C13" s="5" t="n">
        <v>7</v>
      </c>
      <c r="D13" s="16" t="n">
        <v>103.1</v>
      </c>
      <c r="E13" s="5" t="inlineStr">
        <is>
          <t>USD/t</t>
        </is>
      </c>
      <c r="F13" s="14" t="n"/>
      <c r="G13" s="5" t="inlineStr">
        <is>
          <t>monthly</t>
        </is>
      </c>
    </row>
    <row r="14">
      <c r="A14" s="8" t="inlineStr">
        <is>
          <t>Нүүрс (Coal)</t>
        </is>
      </c>
      <c r="B14" s="8" t="n">
        <v>2024</v>
      </c>
      <c r="C14" s="8" t="n">
        <v>8</v>
      </c>
      <c r="D14" s="15" t="n">
        <v>100.5</v>
      </c>
      <c r="E14" s="8" t="inlineStr">
        <is>
          <t>USD/t</t>
        </is>
      </c>
      <c r="F14" s="13" t="n"/>
      <c r="G14" s="8" t="inlineStr">
        <is>
          <t>monthly</t>
        </is>
      </c>
    </row>
    <row r="15">
      <c r="A15" s="5" t="inlineStr">
        <is>
          <t>Нүүрс (Coal)</t>
        </is>
      </c>
      <c r="B15" s="5" t="n">
        <v>2024</v>
      </c>
      <c r="C15" s="5" t="n">
        <v>9</v>
      </c>
      <c r="D15" s="16" t="n">
        <v>97</v>
      </c>
      <c r="E15" s="5" t="inlineStr">
        <is>
          <t>USD/t</t>
        </is>
      </c>
      <c r="F15" s="14" t="n"/>
      <c r="G15" s="5" t="inlineStr">
        <is>
          <t>monthly</t>
        </is>
      </c>
    </row>
    <row r="16">
      <c r="A16" s="8" t="inlineStr">
        <is>
          <t>Нүүрс (Coal)</t>
        </is>
      </c>
      <c r="B16" s="8" t="n">
        <v>2024</v>
      </c>
      <c r="C16" s="8" t="n">
        <v>10</v>
      </c>
      <c r="D16" s="15" t="n">
        <v>96.90000000000001</v>
      </c>
      <c r="E16" s="8" t="inlineStr">
        <is>
          <t>USD/t</t>
        </is>
      </c>
      <c r="F16" s="13" t="n"/>
      <c r="G16" s="8" t="inlineStr">
        <is>
          <t>monthly</t>
        </is>
      </c>
    </row>
    <row r="17">
      <c r="A17" s="5" t="inlineStr">
        <is>
          <t>Нүүрс (Coal)</t>
        </is>
      </c>
      <c r="B17" s="5" t="n">
        <v>2024</v>
      </c>
      <c r="C17" s="5" t="n">
        <v>11</v>
      </c>
      <c r="D17" s="16" t="n">
        <v>91.7</v>
      </c>
      <c r="E17" s="5" t="inlineStr">
        <is>
          <t>USD/t</t>
        </is>
      </c>
      <c r="F17" s="14" t="n"/>
      <c r="G17" s="5" t="inlineStr">
        <is>
          <t>monthly</t>
        </is>
      </c>
    </row>
    <row r="18">
      <c r="A18" s="8" t="inlineStr">
        <is>
          <t>Нүүрс (Coal)</t>
        </is>
      </c>
      <c r="B18" s="8" t="n">
        <v>2025</v>
      </c>
      <c r="C18" s="8" t="n">
        <v>1</v>
      </c>
      <c r="D18" s="15" t="n">
        <v>86.2</v>
      </c>
      <c r="E18" s="8" t="inlineStr">
        <is>
          <t>USD/t</t>
        </is>
      </c>
      <c r="F18" s="13">
        <f>IFERROR(D18/D7-1,"")</f>
        <v/>
      </c>
      <c r="G18" s="8" t="inlineStr">
        <is>
          <t>monthly</t>
        </is>
      </c>
    </row>
    <row r="19">
      <c r="A19" s="5" t="inlineStr">
        <is>
          <t>Нүүрс (Coal)</t>
        </is>
      </c>
      <c r="B19" s="5" t="n">
        <v>2025</v>
      </c>
      <c r="C19" s="5" t="n">
        <v>2</v>
      </c>
      <c r="D19" s="16" t="n">
        <v>81.3</v>
      </c>
      <c r="E19" s="5" t="inlineStr">
        <is>
          <t>USD/t</t>
        </is>
      </c>
      <c r="F19" s="14">
        <f>IFERROR(D19/D8-1,"")</f>
        <v/>
      </c>
      <c r="G19" s="5" t="inlineStr">
        <is>
          <t>monthly</t>
        </is>
      </c>
    </row>
    <row r="20">
      <c r="A20" s="8" t="inlineStr">
        <is>
          <t>Нүүрс (Coal)</t>
        </is>
      </c>
      <c r="B20" s="8" t="n">
        <v>2025</v>
      </c>
      <c r="C20" s="8" t="n">
        <v>3</v>
      </c>
      <c r="D20" s="15" t="n">
        <v>75.7</v>
      </c>
      <c r="E20" s="8" t="inlineStr">
        <is>
          <t>USD/t</t>
        </is>
      </c>
      <c r="F20" s="13">
        <f>IFERROR(D20/D9-1,"")</f>
        <v/>
      </c>
      <c r="G20" s="8" t="inlineStr">
        <is>
          <t>monthly</t>
        </is>
      </c>
    </row>
    <row r="21">
      <c r="A21" s="5" t="inlineStr">
        <is>
          <t>Нүүрс (Coal)</t>
        </is>
      </c>
      <c r="B21" s="5" t="n">
        <v>2025</v>
      </c>
      <c r="C21" s="5" t="n">
        <v>4</v>
      </c>
      <c r="D21" s="16" t="n">
        <v>68.8</v>
      </c>
      <c r="E21" s="5" t="inlineStr">
        <is>
          <t>USD/t</t>
        </is>
      </c>
      <c r="F21" s="14">
        <f>IFERROR(D21/D10-1,"")</f>
        <v/>
      </c>
      <c r="G21" s="5" t="inlineStr">
        <is>
          <t>monthly</t>
        </is>
      </c>
    </row>
    <row r="22">
      <c r="A22" s="8" t="inlineStr">
        <is>
          <t>Нүүрс (Coal)</t>
        </is>
      </c>
      <c r="B22" s="8" t="n">
        <v>2025</v>
      </c>
      <c r="C22" s="8" t="n">
        <v>5</v>
      </c>
      <c r="D22" s="15" t="n">
        <v>67</v>
      </c>
      <c r="E22" s="8" t="inlineStr">
        <is>
          <t>USD/t</t>
        </is>
      </c>
      <c r="F22" s="13">
        <f>IFERROR(D22/D11-1,"")</f>
        <v/>
      </c>
      <c r="G22" s="8" t="inlineStr">
        <is>
          <t>monthly</t>
        </is>
      </c>
    </row>
    <row r="23">
      <c r="A23" s="5" t="inlineStr">
        <is>
          <t>Нүүрс (Coal)</t>
        </is>
      </c>
      <c r="B23" s="5" t="n">
        <v>2025</v>
      </c>
      <c r="C23" s="5" t="n">
        <v>6</v>
      </c>
      <c r="D23" s="16" t="n">
        <v>62.5</v>
      </c>
      <c r="E23" s="5" t="inlineStr">
        <is>
          <t>USD/t</t>
        </is>
      </c>
      <c r="F23" s="14">
        <f>IFERROR(D23/D12-1,"")</f>
        <v/>
      </c>
      <c r="G23" s="5" t="inlineStr">
        <is>
          <t>monthly</t>
        </is>
      </c>
    </row>
    <row r="24">
      <c r="A24" s="8" t="inlineStr">
        <is>
          <t>Нүүрс (Coal)</t>
        </is>
      </c>
      <c r="B24" s="8" t="n">
        <v>2025</v>
      </c>
      <c r="C24" s="8" t="n">
        <v>7</v>
      </c>
      <c r="D24" s="15" t="n">
        <v>57.4</v>
      </c>
      <c r="E24" s="8" t="inlineStr">
        <is>
          <t>USD/t</t>
        </is>
      </c>
      <c r="F24" s="13">
        <f>IFERROR(D24/D13-1,"")</f>
        <v/>
      </c>
      <c r="G24" s="8" t="inlineStr">
        <is>
          <t>monthly</t>
        </is>
      </c>
    </row>
    <row r="25">
      <c r="A25" s="5" t="inlineStr">
        <is>
          <t>Нүүрс (Coal)</t>
        </is>
      </c>
      <c r="B25" s="5" t="n">
        <v>2025</v>
      </c>
      <c r="C25" s="5" t="n">
        <v>8</v>
      </c>
      <c r="D25" s="16" t="n">
        <v>56.8</v>
      </c>
      <c r="E25" s="5" t="inlineStr">
        <is>
          <t>USD/t</t>
        </is>
      </c>
      <c r="F25" s="14">
        <f>IFERROR(D25/D14-1,"")</f>
        <v/>
      </c>
      <c r="G25" s="5" t="inlineStr">
        <is>
          <t>monthly</t>
        </is>
      </c>
    </row>
    <row r="26">
      <c r="A26" s="8" t="inlineStr">
        <is>
          <t>Нүүрс (Coal)</t>
        </is>
      </c>
      <c r="B26" s="8" t="n">
        <v>2025</v>
      </c>
      <c r="C26" s="8" t="n">
        <v>9</v>
      </c>
      <c r="D26" s="15" t="n">
        <v>61.4</v>
      </c>
      <c r="E26" s="8" t="inlineStr">
        <is>
          <t>USD/t</t>
        </is>
      </c>
      <c r="F26" s="13">
        <f>IFERROR(D26/D15-1,"")</f>
        <v/>
      </c>
      <c r="G26" s="8" t="inlineStr">
        <is>
          <t>monthly</t>
        </is>
      </c>
    </row>
    <row r="27">
      <c r="A27" s="5" t="inlineStr">
        <is>
          <t>Нүүрс (Coal)</t>
        </is>
      </c>
      <c r="B27" s="5" t="n">
        <v>2025</v>
      </c>
      <c r="C27" s="5" t="n">
        <v>10</v>
      </c>
      <c r="D27" s="16" t="n">
        <v>61.6</v>
      </c>
      <c r="E27" s="5" t="inlineStr">
        <is>
          <t>USD/t</t>
        </is>
      </c>
      <c r="F27" s="14">
        <f>IFERROR(D27/D16-1,"")</f>
        <v/>
      </c>
      <c r="G27" s="5" t="inlineStr">
        <is>
          <t>monthly</t>
        </is>
      </c>
    </row>
    <row r="28">
      <c r="A28" s="8" t="inlineStr">
        <is>
          <t>Нүүрс (Coal)</t>
        </is>
      </c>
      <c r="B28" s="8" t="n">
        <v>2025</v>
      </c>
      <c r="C28" s="8" t="n">
        <v>11</v>
      </c>
      <c r="D28" s="15" t="n">
        <v>63.9</v>
      </c>
      <c r="E28" s="8" t="inlineStr">
        <is>
          <t>USD/t</t>
        </is>
      </c>
      <c r="F28" s="13">
        <f>IFERROR(D28/D17-1,"")</f>
        <v/>
      </c>
      <c r="G28" s="8" t="inlineStr">
        <is>
          <t>monthly</t>
        </is>
      </c>
    </row>
    <row r="29">
      <c r="A29" s="5" t="inlineStr">
        <is>
          <t>Нүүрс (Coal)</t>
        </is>
      </c>
      <c r="B29" s="5" t="n">
        <v>2026</v>
      </c>
      <c r="C29" s="5" t="n">
        <v>1</v>
      </c>
      <c r="D29" s="16" t="n">
        <v>64.5</v>
      </c>
      <c r="E29" s="5" t="inlineStr">
        <is>
          <t>USD/t</t>
        </is>
      </c>
      <c r="F29" s="14">
        <f>IFERROR(D29/D18-1,"")</f>
        <v/>
      </c>
      <c r="G29" s="5" t="inlineStr">
        <is>
          <t>monthly</t>
        </is>
      </c>
    </row>
    <row r="30">
      <c r="A30" s="8" t="inlineStr">
        <is>
          <t>Нүүрс (Coal)</t>
        </is>
      </c>
      <c r="B30" s="8" t="n">
        <v>2026</v>
      </c>
      <c r="C30" s="8" t="n">
        <v>2</v>
      </c>
      <c r="D30" s="15" t="n">
        <v>66.40000000000001</v>
      </c>
      <c r="E30" s="8" t="inlineStr">
        <is>
          <t>USD/t</t>
        </is>
      </c>
      <c r="F30" s="13">
        <f>IFERROR(D30/D19-1,"")</f>
        <v/>
      </c>
      <c r="G30" s="8" t="inlineStr">
        <is>
          <t>monthly</t>
        </is>
      </c>
    </row>
    <row r="31">
      <c r="A31" s="5" t="inlineStr">
        <is>
          <t>Нүүрс (Coal)</t>
        </is>
      </c>
      <c r="B31" s="5" t="n">
        <v>2026</v>
      </c>
      <c r="C31" s="5" t="n">
        <v>3</v>
      </c>
      <c r="D31" s="16" t="n">
        <v>68.90000000000001</v>
      </c>
      <c r="E31" s="5" t="inlineStr">
        <is>
          <t>USD/t</t>
        </is>
      </c>
      <c r="F31" s="14">
        <f>IFERROR(D31/D20-1,"")</f>
        <v/>
      </c>
      <c r="G31" s="5" t="inlineStr">
        <is>
          <t>monthly</t>
        </is>
      </c>
    </row>
    <row r="32">
      <c r="A32" s="8" t="inlineStr">
        <is>
          <t>Нүүрс (Coal)</t>
        </is>
      </c>
      <c r="B32" s="8" t="n">
        <v>2026</v>
      </c>
      <c r="C32" s="8" t="n">
        <v>4</v>
      </c>
      <c r="D32" s="15" t="n">
        <v>68.59999999999999</v>
      </c>
      <c r="E32" s="8" t="inlineStr">
        <is>
          <t>USD/t</t>
        </is>
      </c>
      <c r="F32" s="13">
        <f>IFERROR(D32/D21-1,"")</f>
        <v/>
      </c>
      <c r="G32" s="8" t="inlineStr">
        <is>
          <t>monthly</t>
        </is>
      </c>
    </row>
    <row r="33">
      <c r="A33" s="5" t="inlineStr">
        <is>
          <t>Нүүрс (Coal)</t>
        </is>
      </c>
      <c r="B33" s="5" t="n">
        <v>2026</v>
      </c>
      <c r="C33" s="5" t="n">
        <v>5</v>
      </c>
      <c r="D33" s="16" t="n">
        <v>72</v>
      </c>
      <c r="E33" s="5" t="inlineStr">
        <is>
          <t>USD/t</t>
        </is>
      </c>
      <c r="F33" s="14">
        <f>IFERROR(D33/D22-1,"")</f>
        <v/>
      </c>
      <c r="G33" s="5" t="inlineStr">
        <is>
          <t>monthly</t>
        </is>
      </c>
    </row>
    <row r="34">
      <c r="A34" s="8" t="inlineStr">
        <is>
          <t>Нүүрс (Coal)</t>
        </is>
      </c>
      <c r="B34" s="8" t="n">
        <v>2026</v>
      </c>
      <c r="C34" s="8" t="n">
        <v>6</v>
      </c>
      <c r="D34" s="15" t="n">
        <v>74.7</v>
      </c>
      <c r="E34" s="8" t="inlineStr">
        <is>
          <t>USD/t</t>
        </is>
      </c>
      <c r="F34" s="13">
        <f>IFERROR(D34/D23-1,"")</f>
        <v/>
      </c>
      <c r="G34" s="8" t="inlineStr">
        <is>
          <t>monthly</t>
        </is>
      </c>
    </row>
    <row r="35">
      <c r="A35" s="5" t="inlineStr">
        <is>
          <t>Нүүрс (Coal)</t>
        </is>
      </c>
      <c r="B35" s="5" t="n">
        <v>2026</v>
      </c>
      <c r="C35" s="5" t="n">
        <v>7</v>
      </c>
      <c r="D35" s="16" t="n">
        <v>79.5</v>
      </c>
      <c r="E35" s="5" t="inlineStr">
        <is>
          <t>USD/t</t>
        </is>
      </c>
      <c r="F35" s="14">
        <f>IFERROR(D35/D24-1,"")</f>
        <v/>
      </c>
      <c r="G35" s="5" t="inlineStr">
        <is>
          <t>monthly</t>
        </is>
      </c>
    </row>
    <row r="36">
      <c r="A36" s="8" t="inlineStr">
        <is>
          <t>Зэсийн баяжмал (Copper concentrate)</t>
        </is>
      </c>
      <c r="B36" s="8" t="n">
        <v>2024</v>
      </c>
      <c r="C36" s="8" t="n">
        <v>1</v>
      </c>
      <c r="D36" s="15" t="n">
        <v>1773.9</v>
      </c>
      <c r="E36" s="8" t="inlineStr">
        <is>
          <t>USD/t</t>
        </is>
      </c>
      <c r="F36" s="13" t="n"/>
      <c r="G36" s="8" t="inlineStr">
        <is>
          <t>monthly</t>
        </is>
      </c>
    </row>
    <row r="37">
      <c r="A37" s="5" t="inlineStr">
        <is>
          <t>Зэсийн баяжмал (Copper concentrate)</t>
        </is>
      </c>
      <c r="B37" s="5" t="n">
        <v>2024</v>
      </c>
      <c r="C37" s="5" t="n">
        <v>2</v>
      </c>
      <c r="D37" s="16" t="n">
        <v>1737.3</v>
      </c>
      <c r="E37" s="5" t="inlineStr">
        <is>
          <t>USD/t</t>
        </is>
      </c>
      <c r="F37" s="14" t="n"/>
      <c r="G37" s="5" t="inlineStr">
        <is>
          <t>monthly</t>
        </is>
      </c>
    </row>
    <row r="38">
      <c r="A38" s="8" t="inlineStr">
        <is>
          <t>Зэсийн баяжмал (Copper concentrate)</t>
        </is>
      </c>
      <c r="B38" s="8" t="n">
        <v>2024</v>
      </c>
      <c r="C38" s="8" t="n">
        <v>3</v>
      </c>
      <c r="D38" s="15" t="n">
        <v>1695.4</v>
      </c>
      <c r="E38" s="8" t="inlineStr">
        <is>
          <t>USD/t</t>
        </is>
      </c>
      <c r="F38" s="13" t="n"/>
      <c r="G38" s="8" t="inlineStr">
        <is>
          <t>monthly</t>
        </is>
      </c>
    </row>
    <row r="39">
      <c r="A39" s="5" t="inlineStr">
        <is>
          <t>Зэсийн баяжмал (Copper concentrate)</t>
        </is>
      </c>
      <c r="B39" s="5" t="n">
        <v>2024</v>
      </c>
      <c r="C39" s="5" t="n">
        <v>4</v>
      </c>
      <c r="D39" s="16" t="n">
        <v>1769.7</v>
      </c>
      <c r="E39" s="5" t="inlineStr">
        <is>
          <t>USD/t</t>
        </is>
      </c>
      <c r="F39" s="14" t="n"/>
      <c r="G39" s="5" t="inlineStr">
        <is>
          <t>monthly</t>
        </is>
      </c>
    </row>
    <row r="40">
      <c r="A40" s="8" t="inlineStr">
        <is>
          <t>Зэсийн баяжмал (Copper concentrate)</t>
        </is>
      </c>
      <c r="B40" s="8" t="n">
        <v>2024</v>
      </c>
      <c r="C40" s="8" t="n">
        <v>5</v>
      </c>
      <c r="D40" s="15" t="n">
        <v>1943.1</v>
      </c>
      <c r="E40" s="8" t="inlineStr">
        <is>
          <t>USD/t</t>
        </is>
      </c>
      <c r="F40" s="13" t="n"/>
      <c r="G40" s="8" t="inlineStr">
        <is>
          <t>monthly</t>
        </is>
      </c>
    </row>
    <row r="41">
      <c r="A41" s="5" t="inlineStr">
        <is>
          <t>Зэсийн баяжмал (Copper concentrate)</t>
        </is>
      </c>
      <c r="B41" s="5" t="n">
        <v>2024</v>
      </c>
      <c r="C41" s="5" t="n">
        <v>6</v>
      </c>
      <c r="D41" s="16" t="n">
        <v>2136.5</v>
      </c>
      <c r="E41" s="5" t="inlineStr">
        <is>
          <t>USD/t</t>
        </is>
      </c>
      <c r="F41" s="14" t="n"/>
      <c r="G41" s="5" t="inlineStr">
        <is>
          <t>monthly</t>
        </is>
      </c>
    </row>
    <row r="42">
      <c r="A42" s="8" t="inlineStr">
        <is>
          <t>Зэсийн баяжмал (Copper concentrate)</t>
        </is>
      </c>
      <c r="B42" s="8" t="n">
        <v>2024</v>
      </c>
      <c r="C42" s="8" t="n">
        <v>7</v>
      </c>
      <c r="D42" s="15" t="n">
        <v>2053.5</v>
      </c>
      <c r="E42" s="8" t="inlineStr">
        <is>
          <t>USD/t</t>
        </is>
      </c>
      <c r="F42" s="13" t="n"/>
      <c r="G42" s="8" t="inlineStr">
        <is>
          <t>monthly</t>
        </is>
      </c>
    </row>
    <row r="43">
      <c r="A43" s="5" t="inlineStr">
        <is>
          <t>Зэсийн баяжмал (Copper concentrate)</t>
        </is>
      </c>
      <c r="B43" s="5" t="n">
        <v>2024</v>
      </c>
      <c r="C43" s="5" t="n">
        <v>8</v>
      </c>
      <c r="D43" s="16" t="n">
        <v>2007.5</v>
      </c>
      <c r="E43" s="5" t="inlineStr">
        <is>
          <t>USD/t</t>
        </is>
      </c>
      <c r="F43" s="14" t="n"/>
      <c r="G43" s="5" t="inlineStr">
        <is>
          <t>monthly</t>
        </is>
      </c>
    </row>
    <row r="44">
      <c r="A44" s="8" t="inlineStr">
        <is>
          <t>Зэсийн баяжмал (Copper concentrate)</t>
        </is>
      </c>
      <c r="B44" s="8" t="n">
        <v>2024</v>
      </c>
      <c r="C44" s="8" t="n">
        <v>9</v>
      </c>
      <c r="D44" s="15" t="n">
        <v>1994.3</v>
      </c>
      <c r="E44" s="8" t="inlineStr">
        <is>
          <t>USD/t</t>
        </is>
      </c>
      <c r="F44" s="13" t="n"/>
      <c r="G44" s="8" t="inlineStr">
        <is>
          <t>monthly</t>
        </is>
      </c>
    </row>
    <row r="45">
      <c r="A45" s="5" t="inlineStr">
        <is>
          <t>Зэсийн баяжмал (Copper concentrate)</t>
        </is>
      </c>
      <c r="B45" s="5" t="n">
        <v>2024</v>
      </c>
      <c r="C45" s="5" t="n">
        <v>10</v>
      </c>
      <c r="D45" s="16" t="n">
        <v>2052.4</v>
      </c>
      <c r="E45" s="5" t="inlineStr">
        <is>
          <t>USD/t</t>
        </is>
      </c>
      <c r="F45" s="14" t="n"/>
      <c r="G45" s="5" t="inlineStr">
        <is>
          <t>monthly</t>
        </is>
      </c>
    </row>
    <row r="46">
      <c r="A46" s="8" t="inlineStr">
        <is>
          <t>Зэсийн баяжмал (Copper concentrate)</t>
        </is>
      </c>
      <c r="B46" s="8" t="n">
        <v>2024</v>
      </c>
      <c r="C46" s="8" t="n">
        <v>11</v>
      </c>
      <c r="D46" s="15" t="n">
        <v>2052.2</v>
      </c>
      <c r="E46" s="8" t="inlineStr">
        <is>
          <t>USD/t</t>
        </is>
      </c>
      <c r="F46" s="13" t="n"/>
      <c r="G46" s="8" t="inlineStr">
        <is>
          <t>monthly</t>
        </is>
      </c>
    </row>
    <row r="47">
      <c r="A47" s="5" t="inlineStr">
        <is>
          <t>Зэсийн баяжмал (Copper concentrate)</t>
        </is>
      </c>
      <c r="B47" s="5" t="n">
        <v>2025</v>
      </c>
      <c r="C47" s="5" t="n">
        <v>1</v>
      </c>
      <c r="D47" s="16" t="n">
        <v>1950</v>
      </c>
      <c r="E47" s="5" t="inlineStr">
        <is>
          <t>USD/t</t>
        </is>
      </c>
      <c r="F47" s="14">
        <f>IFERROR(D47/D36-1,"")</f>
        <v/>
      </c>
      <c r="G47" s="5" t="inlineStr">
        <is>
          <t>monthly</t>
        </is>
      </c>
    </row>
    <row r="48">
      <c r="A48" s="8" t="inlineStr">
        <is>
          <t>Зэсийн баяжмал (Copper concentrate)</t>
        </is>
      </c>
      <c r="B48" s="8" t="n">
        <v>2025</v>
      </c>
      <c r="C48" s="8" t="n">
        <v>2</v>
      </c>
      <c r="D48" s="15" t="n">
        <v>1985.4</v>
      </c>
      <c r="E48" s="8" t="inlineStr">
        <is>
          <t>USD/t</t>
        </is>
      </c>
      <c r="F48" s="13">
        <f>IFERROR(D48/D37-1,"")</f>
        <v/>
      </c>
      <c r="G48" s="8" t="inlineStr">
        <is>
          <t>monthly</t>
        </is>
      </c>
    </row>
    <row r="49">
      <c r="A49" s="5" t="inlineStr">
        <is>
          <t>Зэсийн баяжмал (Copper concentrate)</t>
        </is>
      </c>
      <c r="B49" s="5" t="n">
        <v>2025</v>
      </c>
      <c r="C49" s="5" t="n">
        <v>3</v>
      </c>
      <c r="D49" s="16" t="n">
        <v>2150.3</v>
      </c>
      <c r="E49" s="5" t="inlineStr">
        <is>
          <t>USD/t</t>
        </is>
      </c>
      <c r="F49" s="14">
        <f>IFERROR(D49/D38-1,"")</f>
        <v/>
      </c>
      <c r="G49" s="5" t="inlineStr">
        <is>
          <t>monthly</t>
        </is>
      </c>
    </row>
    <row r="50">
      <c r="A50" s="8" t="inlineStr">
        <is>
          <t>Зэсийн баяжмал (Copper concentrate)</t>
        </is>
      </c>
      <c r="B50" s="8" t="n">
        <v>2025</v>
      </c>
      <c r="C50" s="8" t="n">
        <v>4</v>
      </c>
      <c r="D50" s="15" t="n">
        <v>2306.5</v>
      </c>
      <c r="E50" s="8" t="inlineStr">
        <is>
          <t>USD/t</t>
        </is>
      </c>
      <c r="F50" s="13">
        <f>IFERROR(D50/D39-1,"")</f>
        <v/>
      </c>
      <c r="G50" s="8" t="inlineStr">
        <is>
          <t>monthly</t>
        </is>
      </c>
    </row>
    <row r="51">
      <c r="A51" s="5" t="inlineStr">
        <is>
          <t>Зэсийн баяжмал (Copper concentrate)</t>
        </is>
      </c>
      <c r="B51" s="5" t="n">
        <v>2025</v>
      </c>
      <c r="C51" s="5" t="n">
        <v>5</v>
      </c>
      <c r="D51" s="16" t="n">
        <v>2354.4</v>
      </c>
      <c r="E51" s="5" t="inlineStr">
        <is>
          <t>USD/t</t>
        </is>
      </c>
      <c r="F51" s="14">
        <f>IFERROR(D51/D40-1,"")</f>
        <v/>
      </c>
      <c r="G51" s="5" t="inlineStr">
        <is>
          <t>monthly</t>
        </is>
      </c>
    </row>
    <row r="52">
      <c r="A52" s="8" t="inlineStr">
        <is>
          <t>Зэсийн баяжмал (Copper concentrate)</t>
        </is>
      </c>
      <c r="B52" s="8" t="n">
        <v>2025</v>
      </c>
      <c r="C52" s="8" t="n">
        <v>6</v>
      </c>
      <c r="D52" s="15" t="n">
        <v>2478.7</v>
      </c>
      <c r="E52" s="8" t="inlineStr">
        <is>
          <t>USD/t</t>
        </is>
      </c>
      <c r="F52" s="13">
        <f>IFERROR(D52/D41-1,"")</f>
        <v/>
      </c>
      <c r="G52" s="8" t="inlineStr">
        <is>
          <t>monthly</t>
        </is>
      </c>
    </row>
    <row r="53">
      <c r="A53" s="5" t="inlineStr">
        <is>
          <t>Зэсийн баяжмал (Copper concentrate)</t>
        </is>
      </c>
      <c r="B53" s="5" t="n">
        <v>2025</v>
      </c>
      <c r="C53" s="5" t="n">
        <v>7</v>
      </c>
      <c r="D53" s="16" t="n">
        <v>2785.1</v>
      </c>
      <c r="E53" s="5" t="inlineStr">
        <is>
          <t>USD/t</t>
        </is>
      </c>
      <c r="F53" s="14">
        <f>IFERROR(D53/D42-1,"")</f>
        <v/>
      </c>
      <c r="G53" s="5" t="inlineStr">
        <is>
          <t>monthly</t>
        </is>
      </c>
    </row>
    <row r="54">
      <c r="A54" s="8" t="inlineStr">
        <is>
          <t>Зэсийн баяжмал (Copper concentrate)</t>
        </is>
      </c>
      <c r="B54" s="8" t="n">
        <v>2025</v>
      </c>
      <c r="C54" s="8" t="n">
        <v>8</v>
      </c>
      <c r="D54" s="15" t="n">
        <v>2672.8</v>
      </c>
      <c r="E54" s="8" t="inlineStr">
        <is>
          <t>USD/t</t>
        </is>
      </c>
      <c r="F54" s="13">
        <f>IFERROR(D54/D43-1,"")</f>
        <v/>
      </c>
      <c r="G54" s="8" t="inlineStr">
        <is>
          <t>monthly</t>
        </is>
      </c>
    </row>
    <row r="55">
      <c r="A55" s="5" t="inlineStr">
        <is>
          <t>Зэсийн баяжмал (Copper concentrate)</t>
        </is>
      </c>
      <c r="B55" s="5" t="n">
        <v>2025</v>
      </c>
      <c r="C55" s="5" t="n">
        <v>9</v>
      </c>
      <c r="D55" s="16" t="n">
        <v>2594.1</v>
      </c>
      <c r="E55" s="5" t="inlineStr">
        <is>
          <t>USD/t</t>
        </is>
      </c>
      <c r="F55" s="14">
        <f>IFERROR(D55/D44-1,"")</f>
        <v/>
      </c>
      <c r="G55" s="5" t="inlineStr">
        <is>
          <t>monthly</t>
        </is>
      </c>
    </row>
    <row r="56">
      <c r="A56" s="8" t="inlineStr">
        <is>
          <t>Зэсийн баяжмал (Copper concentrate)</t>
        </is>
      </c>
      <c r="B56" s="8" t="n">
        <v>2025</v>
      </c>
      <c r="C56" s="8" t="n">
        <v>10</v>
      </c>
      <c r="D56" s="15" t="n">
        <v>2808.8</v>
      </c>
      <c r="E56" s="8" t="inlineStr">
        <is>
          <t>USD/t</t>
        </is>
      </c>
      <c r="F56" s="13">
        <f>IFERROR(D56/D45-1,"")</f>
        <v/>
      </c>
      <c r="G56" s="8" t="inlineStr">
        <is>
          <t>monthly</t>
        </is>
      </c>
    </row>
    <row r="57">
      <c r="A57" s="5" t="inlineStr">
        <is>
          <t>Зэсийн баяжмал (Copper concentrate)</t>
        </is>
      </c>
      <c r="B57" s="5" t="n">
        <v>2025</v>
      </c>
      <c r="C57" s="5" t="n">
        <v>11</v>
      </c>
      <c r="D57" s="16" t="n">
        <v>2897.5</v>
      </c>
      <c r="E57" s="5" t="inlineStr">
        <is>
          <t>USD/t</t>
        </is>
      </c>
      <c r="F57" s="14">
        <f>IFERROR(D57/D46-1,"")</f>
        <v/>
      </c>
      <c r="G57" s="5" t="inlineStr">
        <is>
          <t>monthly</t>
        </is>
      </c>
    </row>
    <row r="58">
      <c r="A58" s="8" t="inlineStr">
        <is>
          <t>Зэсийн баяжмал (Copper concentrate)</t>
        </is>
      </c>
      <c r="B58" s="8" t="n">
        <v>2026</v>
      </c>
      <c r="C58" s="8" t="n">
        <v>1</v>
      </c>
      <c r="D58" s="15" t="n">
        <v>3274</v>
      </c>
      <c r="E58" s="8" t="inlineStr">
        <is>
          <t>USD/t</t>
        </is>
      </c>
      <c r="F58" s="13">
        <f>IFERROR(D58/D47-1,"")</f>
        <v/>
      </c>
      <c r="G58" s="8" t="inlineStr">
        <is>
          <t>monthly</t>
        </is>
      </c>
    </row>
    <row r="59">
      <c r="A59" s="5" t="inlineStr">
        <is>
          <t>Зэсийн баяжмал (Copper concentrate)</t>
        </is>
      </c>
      <c r="B59" s="5" t="n">
        <v>2026</v>
      </c>
      <c r="C59" s="5" t="n">
        <v>2</v>
      </c>
      <c r="D59" s="16" t="n">
        <v>3420.8</v>
      </c>
      <c r="E59" s="5" t="inlineStr">
        <is>
          <t>USD/t</t>
        </is>
      </c>
      <c r="F59" s="14">
        <f>IFERROR(D59/D48-1,"")</f>
        <v/>
      </c>
      <c r="G59" s="5" t="inlineStr">
        <is>
          <t>monthly</t>
        </is>
      </c>
    </row>
    <row r="60">
      <c r="A60" s="8" t="inlineStr">
        <is>
          <t>Зэсийн баяжмал (Copper concentrate)</t>
        </is>
      </c>
      <c r="B60" s="8" t="n">
        <v>2026</v>
      </c>
      <c r="C60" s="8" t="n">
        <v>3</v>
      </c>
      <c r="D60" s="15" t="n">
        <v>3397.7</v>
      </c>
      <c r="E60" s="8" t="inlineStr">
        <is>
          <t>USD/t</t>
        </is>
      </c>
      <c r="F60" s="13">
        <f>IFERROR(D60/D49-1,"")</f>
        <v/>
      </c>
      <c r="G60" s="8" t="inlineStr">
        <is>
          <t>monthly</t>
        </is>
      </c>
    </row>
    <row r="61">
      <c r="A61" s="5" t="inlineStr">
        <is>
          <t>Зэсийн баяжмал (Copper concentrate)</t>
        </is>
      </c>
      <c r="B61" s="5" t="n">
        <v>2026</v>
      </c>
      <c r="C61" s="5" t="n">
        <v>4</v>
      </c>
      <c r="D61" s="16" t="n">
        <v>3728.2</v>
      </c>
      <c r="E61" s="5" t="inlineStr">
        <is>
          <t>USD/t</t>
        </is>
      </c>
      <c r="F61" s="14">
        <f>IFERROR(D61/D50-1,"")</f>
        <v/>
      </c>
      <c r="G61" s="5" t="inlineStr">
        <is>
          <t>monthly</t>
        </is>
      </c>
    </row>
    <row r="62">
      <c r="A62" s="8" t="inlineStr">
        <is>
          <t>Зэсийн баяжмал (Copper concentrate)</t>
        </is>
      </c>
      <c r="B62" s="8" t="n">
        <v>2026</v>
      </c>
      <c r="C62" s="8" t="n">
        <v>5</v>
      </c>
      <c r="D62" s="15" t="n">
        <v>3647.2</v>
      </c>
      <c r="E62" s="8" t="inlineStr">
        <is>
          <t>USD/t</t>
        </is>
      </c>
      <c r="F62" s="13">
        <f>IFERROR(D62/D51-1,"")</f>
        <v/>
      </c>
      <c r="G62" s="8" t="inlineStr">
        <is>
          <t>monthly</t>
        </is>
      </c>
    </row>
    <row r="63">
      <c r="A63" s="5" t="inlineStr">
        <is>
          <t>Зэсийн баяжмал (Copper concentrate)</t>
        </is>
      </c>
      <c r="B63" s="5" t="n">
        <v>2026</v>
      </c>
      <c r="C63" s="5" t="n">
        <v>6</v>
      </c>
      <c r="D63" s="16" t="n">
        <v>3853.4</v>
      </c>
      <c r="E63" s="5" t="inlineStr">
        <is>
          <t>USD/t</t>
        </is>
      </c>
      <c r="F63" s="14">
        <f>IFERROR(D63/D52-1,"")</f>
        <v/>
      </c>
      <c r="G63" s="5" t="inlineStr">
        <is>
          <t>monthly</t>
        </is>
      </c>
    </row>
    <row r="64">
      <c r="A64" s="8" t="inlineStr">
        <is>
          <t>Зэсийн баяжмал (Copper concentrate)</t>
        </is>
      </c>
      <c r="B64" s="8" t="n">
        <v>2026</v>
      </c>
      <c r="C64" s="8" t="n">
        <v>7</v>
      </c>
      <c r="D64" s="15" t="n">
        <v>3671.7</v>
      </c>
      <c r="E64" s="8" t="inlineStr">
        <is>
          <t>USD/t</t>
        </is>
      </c>
      <c r="F64" s="13">
        <f>IFERROR(D64/D53-1,"")</f>
        <v/>
      </c>
      <c r="G64" s="8" t="inlineStr">
        <is>
          <t>monthly</t>
        </is>
      </c>
    </row>
    <row r="65">
      <c r="A65" s="5" t="inlineStr">
        <is>
          <t>Алт (Gold)</t>
        </is>
      </c>
      <c r="B65" s="5" t="n">
        <v>2024</v>
      </c>
      <c r="C65" s="5" t="n">
        <v>1</v>
      </c>
      <c r="D65" s="16" t="n">
        <v>2084.8</v>
      </c>
      <c r="E65" s="5" t="inlineStr">
        <is>
          <t>USD/oz</t>
        </is>
      </c>
      <c r="F65" s="14" t="n"/>
      <c r="G65" s="5" t="inlineStr">
        <is>
          <t>monthly</t>
        </is>
      </c>
    </row>
    <row r="66">
      <c r="A66" s="8" t="inlineStr">
        <is>
          <t>Алт (Gold)</t>
        </is>
      </c>
      <c r="B66" s="8" t="n">
        <v>2024</v>
      </c>
      <c r="C66" s="8" t="n">
        <v>3</v>
      </c>
      <c r="D66" s="15" t="n">
        <v>2120.9</v>
      </c>
      <c r="E66" s="8" t="inlineStr">
        <is>
          <t>USD/oz</t>
        </is>
      </c>
      <c r="F66" s="13" t="n"/>
      <c r="G66" s="8" t="inlineStr">
        <is>
          <t>monthly</t>
        </is>
      </c>
    </row>
    <row r="67">
      <c r="A67" s="5" t="inlineStr">
        <is>
          <t>Алт (Gold)</t>
        </is>
      </c>
      <c r="B67" s="5" t="n">
        <v>2024</v>
      </c>
      <c r="C67" s="5" t="n">
        <v>4</v>
      </c>
      <c r="D67" s="16" t="n">
        <v>2276</v>
      </c>
      <c r="E67" s="5" t="inlineStr">
        <is>
          <t>USD/oz</t>
        </is>
      </c>
      <c r="F67" s="14" t="n"/>
      <c r="G67" s="5" t="inlineStr">
        <is>
          <t>monthly</t>
        </is>
      </c>
    </row>
    <row r="68">
      <c r="A68" s="8" t="inlineStr">
        <is>
          <t>Алт (Gold)</t>
        </is>
      </c>
      <c r="B68" s="8" t="n">
        <v>2024</v>
      </c>
      <c r="C68" s="8" t="n">
        <v>5</v>
      </c>
      <c r="D68" s="15" t="n">
        <v>2393.9</v>
      </c>
      <c r="E68" s="8" t="inlineStr">
        <is>
          <t>USD/oz</t>
        </is>
      </c>
      <c r="F68" s="13" t="n"/>
      <c r="G68" s="8" t="inlineStr">
        <is>
          <t>monthly</t>
        </is>
      </c>
    </row>
    <row r="69">
      <c r="A69" s="5" t="inlineStr">
        <is>
          <t>Алт (Gold)</t>
        </is>
      </c>
      <c r="B69" s="5" t="n">
        <v>2024</v>
      </c>
      <c r="C69" s="5" t="n">
        <v>6</v>
      </c>
      <c r="D69" s="16" t="n">
        <v>2337.1</v>
      </c>
      <c r="E69" s="5" t="inlineStr">
        <is>
          <t>USD/oz</t>
        </is>
      </c>
      <c r="F69" s="14" t="n"/>
      <c r="G69" s="5" t="inlineStr">
        <is>
          <t>monthly</t>
        </is>
      </c>
    </row>
    <row r="70">
      <c r="A70" s="8" t="inlineStr">
        <is>
          <t>Алт (Gold)</t>
        </is>
      </c>
      <c r="B70" s="8" t="n">
        <v>2024</v>
      </c>
      <c r="C70" s="8" t="n">
        <v>7</v>
      </c>
      <c r="D70" s="15" t="n">
        <v>2403.9</v>
      </c>
      <c r="E70" s="8" t="inlineStr">
        <is>
          <t>USD/oz</t>
        </is>
      </c>
      <c r="F70" s="13" t="n"/>
      <c r="G70" s="8" t="inlineStr">
        <is>
          <t>monthly</t>
        </is>
      </c>
    </row>
    <row r="71">
      <c r="A71" s="5" t="inlineStr">
        <is>
          <t>Алт (Gold)</t>
        </is>
      </c>
      <c r="B71" s="5" t="n">
        <v>2024</v>
      </c>
      <c r="C71" s="5" t="n">
        <v>8</v>
      </c>
      <c r="D71" s="16" t="n">
        <v>2475.9</v>
      </c>
      <c r="E71" s="5" t="inlineStr">
        <is>
          <t>USD/oz</t>
        </is>
      </c>
      <c r="F71" s="14" t="n"/>
      <c r="G71" s="5" t="inlineStr">
        <is>
          <t>monthly</t>
        </is>
      </c>
    </row>
    <row r="72">
      <c r="A72" s="8" t="inlineStr">
        <is>
          <t>Алт (Gold)</t>
        </is>
      </c>
      <c r="B72" s="8" t="n">
        <v>2024</v>
      </c>
      <c r="C72" s="8" t="n">
        <v>9</v>
      </c>
      <c r="D72" s="15" t="n">
        <v>2579.2</v>
      </c>
      <c r="E72" s="8" t="inlineStr">
        <is>
          <t>USD/oz</t>
        </is>
      </c>
      <c r="F72" s="13" t="n"/>
      <c r="G72" s="8" t="inlineStr">
        <is>
          <t>monthly</t>
        </is>
      </c>
    </row>
    <row r="73">
      <c r="A73" s="5" t="inlineStr">
        <is>
          <t>Алт (Gold)</t>
        </is>
      </c>
      <c r="B73" s="5" t="n">
        <v>2024</v>
      </c>
      <c r="C73" s="5" t="n">
        <v>10</v>
      </c>
      <c r="D73" s="16" t="n">
        <v>2724.3</v>
      </c>
      <c r="E73" s="5" t="inlineStr">
        <is>
          <t>USD/oz</t>
        </is>
      </c>
      <c r="F73" s="14" t="n"/>
      <c r="G73" s="5" t="inlineStr">
        <is>
          <t>monthly</t>
        </is>
      </c>
    </row>
    <row r="74">
      <c r="A74" s="8" t="inlineStr">
        <is>
          <t>Алт (Gold)</t>
        </is>
      </c>
      <c r="B74" s="8" t="n">
        <v>2024</v>
      </c>
      <c r="C74" s="8" t="n">
        <v>11</v>
      </c>
      <c r="D74" s="15" t="n">
        <v>2646.6</v>
      </c>
      <c r="E74" s="8" t="inlineStr">
        <is>
          <t>USD/oz</t>
        </is>
      </c>
      <c r="F74" s="13" t="n"/>
      <c r="G74" s="8" t="inlineStr">
        <is>
          <t>monthly</t>
        </is>
      </c>
    </row>
    <row r="75">
      <c r="A75" s="5" t="inlineStr">
        <is>
          <t>Алт (Gold)</t>
        </is>
      </c>
      <c r="B75" s="5" t="n">
        <v>2025</v>
      </c>
      <c r="C75" s="5" t="n">
        <v>1</v>
      </c>
      <c r="D75" s="16" t="n">
        <v>2732.9</v>
      </c>
      <c r="E75" s="5" t="inlineStr">
        <is>
          <t>USD/oz</t>
        </is>
      </c>
      <c r="F75" s="14">
        <f>IFERROR(D75/D65-1,"")</f>
        <v/>
      </c>
      <c r="G75" s="5" t="inlineStr">
        <is>
          <t>monthly</t>
        </is>
      </c>
    </row>
    <row r="76">
      <c r="A76" s="8" t="inlineStr">
        <is>
          <t>Алт (Gold)</t>
        </is>
      </c>
      <c r="B76" s="8" t="n">
        <v>2025</v>
      </c>
      <c r="C76" s="8" t="n">
        <v>2</v>
      </c>
      <c r="D76" s="15" t="n">
        <v>2825.3</v>
      </c>
      <c r="E76" s="8" t="inlineStr">
        <is>
          <t>USD/oz</t>
        </is>
      </c>
      <c r="F76" s="13" t="n"/>
      <c r="G76" s="8" t="inlineStr">
        <is>
          <t>monthly</t>
        </is>
      </c>
    </row>
    <row r="77">
      <c r="A77" s="5" t="inlineStr">
        <is>
          <t>Алт (Gold)</t>
        </is>
      </c>
      <c r="B77" s="5" t="n">
        <v>2025</v>
      </c>
      <c r="C77" s="5" t="n">
        <v>3</v>
      </c>
      <c r="D77" s="16" t="n">
        <v>3024.1</v>
      </c>
      <c r="E77" s="5" t="inlineStr">
        <is>
          <t>USD/oz</t>
        </is>
      </c>
      <c r="F77" s="14">
        <f>IFERROR(D77/D66-1,"")</f>
        <v/>
      </c>
      <c r="G77" s="5" t="inlineStr">
        <is>
          <t>monthly</t>
        </is>
      </c>
    </row>
    <row r="78">
      <c r="A78" s="8" t="inlineStr">
        <is>
          <t>Алт (Gold)</t>
        </is>
      </c>
      <c r="B78" s="8" t="n">
        <v>2025</v>
      </c>
      <c r="C78" s="8" t="n">
        <v>4</v>
      </c>
      <c r="D78" s="15" t="n">
        <v>3261.7</v>
      </c>
      <c r="E78" s="8" t="inlineStr">
        <is>
          <t>USD/oz</t>
        </is>
      </c>
      <c r="F78" s="13">
        <f>IFERROR(D78/D67-1,"")</f>
        <v/>
      </c>
      <c r="G78" s="8" t="inlineStr">
        <is>
          <t>monthly</t>
        </is>
      </c>
    </row>
    <row r="79">
      <c r="A79" s="5" t="inlineStr">
        <is>
          <t>Алт (Gold)</t>
        </is>
      </c>
      <c r="B79" s="5" t="n">
        <v>2025</v>
      </c>
      <c r="C79" s="5" t="n">
        <v>5</v>
      </c>
      <c r="D79" s="16" t="n">
        <v>3274.6</v>
      </c>
      <c r="E79" s="5" t="inlineStr">
        <is>
          <t>USD/oz</t>
        </is>
      </c>
      <c r="F79" s="14">
        <f>IFERROR(D79/D68-1,"")</f>
        <v/>
      </c>
      <c r="G79" s="5" t="inlineStr">
        <is>
          <t>monthly</t>
        </is>
      </c>
    </row>
    <row r="80">
      <c r="A80" s="8" t="inlineStr">
        <is>
          <t>Алт (Gold)</t>
        </is>
      </c>
      <c r="B80" s="8" t="n">
        <v>2025</v>
      </c>
      <c r="C80" s="8" t="n">
        <v>6</v>
      </c>
      <c r="D80" s="15" t="n">
        <v>3384.7</v>
      </c>
      <c r="E80" s="8" t="inlineStr">
        <is>
          <t>USD/oz</t>
        </is>
      </c>
      <c r="F80" s="13">
        <f>IFERROR(D80/D69-1,"")</f>
        <v/>
      </c>
      <c r="G80" s="8" t="inlineStr">
        <is>
          <t>monthly</t>
        </is>
      </c>
    </row>
    <row r="81">
      <c r="A81" s="5" t="inlineStr">
        <is>
          <t>Алт (Gold)</t>
        </is>
      </c>
      <c r="B81" s="5" t="n">
        <v>2025</v>
      </c>
      <c r="C81" s="5" t="n">
        <v>7</v>
      </c>
      <c r="D81" s="16" t="n">
        <v>3368</v>
      </c>
      <c r="E81" s="5" t="inlineStr">
        <is>
          <t>USD/oz</t>
        </is>
      </c>
      <c r="F81" s="14">
        <f>IFERROR(D81/D70-1,"")</f>
        <v/>
      </c>
      <c r="G81" s="5" t="inlineStr">
        <is>
          <t>monthly</t>
        </is>
      </c>
    </row>
    <row r="82">
      <c r="A82" s="8" t="inlineStr">
        <is>
          <t>Алт (Gold)</t>
        </is>
      </c>
      <c r="B82" s="8" t="n">
        <v>2025</v>
      </c>
      <c r="C82" s="8" t="n">
        <v>8</v>
      </c>
      <c r="D82" s="15" t="n">
        <v>3380.1</v>
      </c>
      <c r="E82" s="8" t="inlineStr">
        <is>
          <t>USD/oz</t>
        </is>
      </c>
      <c r="F82" s="13">
        <f>IFERROR(D82/D71-1,"")</f>
        <v/>
      </c>
      <c r="G82" s="8" t="inlineStr">
        <is>
          <t>monthly</t>
        </is>
      </c>
    </row>
    <row r="83">
      <c r="A83" s="5" t="inlineStr">
        <is>
          <t>Алт (Gold)</t>
        </is>
      </c>
      <c r="B83" s="5" t="n">
        <v>2025</v>
      </c>
      <c r="C83" s="5" t="n">
        <v>9</v>
      </c>
      <c r="D83" s="16" t="n">
        <v>3520.2</v>
      </c>
      <c r="E83" s="5" t="inlineStr">
        <is>
          <t>USD/oz</t>
        </is>
      </c>
      <c r="F83" s="14">
        <f>IFERROR(D83/D72-1,"")</f>
        <v/>
      </c>
      <c r="G83" s="5" t="inlineStr">
        <is>
          <t>monthly</t>
        </is>
      </c>
    </row>
    <row r="84">
      <c r="A84" s="8" t="inlineStr">
        <is>
          <t>Алт (Gold)</t>
        </is>
      </c>
      <c r="B84" s="8" t="n">
        <v>2025</v>
      </c>
      <c r="C84" s="8" t="n">
        <v>10</v>
      </c>
      <c r="D84" s="15" t="n">
        <v>4030.2</v>
      </c>
      <c r="E84" s="8" t="inlineStr">
        <is>
          <t>USD/oz</t>
        </is>
      </c>
      <c r="F84" s="13">
        <f>IFERROR(D84/D73-1,"")</f>
        <v/>
      </c>
      <c r="G84" s="8" t="inlineStr">
        <is>
          <t>monthly</t>
        </is>
      </c>
    </row>
    <row r="85">
      <c r="A85" s="5" t="inlineStr">
        <is>
          <t>Алт (Gold)</t>
        </is>
      </c>
      <c r="B85" s="5" t="n">
        <v>2025</v>
      </c>
      <c r="C85" s="5" t="n">
        <v>11</v>
      </c>
      <c r="D85" s="16" t="n">
        <v>4142.4</v>
      </c>
      <c r="E85" s="5" t="inlineStr">
        <is>
          <t>USD/oz</t>
        </is>
      </c>
      <c r="F85" s="14">
        <f>IFERROR(D85/D74-1,"")</f>
        <v/>
      </c>
      <c r="G85" s="5" t="inlineStr">
        <is>
          <t>monthly</t>
        </is>
      </c>
    </row>
    <row r="86">
      <c r="A86" s="8" t="inlineStr">
        <is>
          <t>Алт (Gold)</t>
        </is>
      </c>
      <c r="B86" s="8" t="n">
        <v>2026</v>
      </c>
      <c r="C86" s="8" t="n">
        <v>1</v>
      </c>
      <c r="D86" s="15" t="n">
        <v>4897.5</v>
      </c>
      <c r="E86" s="8" t="inlineStr">
        <is>
          <t>USD/oz</t>
        </is>
      </c>
      <c r="F86" s="13">
        <f>IFERROR(D86/D75-1,"")</f>
        <v/>
      </c>
      <c r="G86" s="8" t="inlineStr">
        <is>
          <t>monthly</t>
        </is>
      </c>
    </row>
    <row r="87">
      <c r="A87" s="5" t="inlineStr">
        <is>
          <t>Алт (Gold)</t>
        </is>
      </c>
      <c r="B87" s="5" t="n">
        <v>2026</v>
      </c>
      <c r="C87" s="5" t="n">
        <v>2</v>
      </c>
      <c r="D87" s="16" t="n">
        <v>5180.1</v>
      </c>
      <c r="E87" s="5" t="inlineStr">
        <is>
          <t>USD/oz</t>
        </is>
      </c>
      <c r="F87" s="14">
        <f>IFERROR(D87/D76-1,"")</f>
        <v/>
      </c>
      <c r="G87" s="5" t="inlineStr">
        <is>
          <t>monthly</t>
        </is>
      </c>
    </row>
    <row r="88">
      <c r="A88" s="8" t="inlineStr">
        <is>
          <t>Алт (Gold)</t>
        </is>
      </c>
      <c r="B88" s="8" t="n">
        <v>2026</v>
      </c>
      <c r="C88" s="8" t="n">
        <v>3</v>
      </c>
      <c r="D88" s="15" t="n">
        <v>5648.5</v>
      </c>
      <c r="E88" s="8" t="inlineStr">
        <is>
          <t>USD/oz</t>
        </is>
      </c>
      <c r="F88" s="13">
        <f>IFERROR(D88/D77-1,"")</f>
        <v/>
      </c>
      <c r="G88" s="8" t="inlineStr">
        <is>
          <t>monthly</t>
        </is>
      </c>
    </row>
    <row r="89">
      <c r="A89" s="5" t="inlineStr">
        <is>
          <t>Алт (Gold)</t>
        </is>
      </c>
      <c r="B89" s="5" t="n">
        <v>2026</v>
      </c>
      <c r="C89" s="5" t="n">
        <v>4</v>
      </c>
      <c r="D89" s="16" t="n">
        <v>4792.8</v>
      </c>
      <c r="E89" s="5" t="inlineStr">
        <is>
          <t>USD/oz</t>
        </is>
      </c>
      <c r="F89" s="14">
        <f>IFERROR(D89/D78-1,"")</f>
        <v/>
      </c>
      <c r="G89" s="5" t="inlineStr">
        <is>
          <t>monthly</t>
        </is>
      </c>
    </row>
    <row r="90">
      <c r="A90" s="8" t="inlineStr">
        <is>
          <t>Алт (Gold)</t>
        </is>
      </c>
      <c r="B90" s="8" t="n">
        <v>2026</v>
      </c>
      <c r="C90" s="8" t="n">
        <v>5</v>
      </c>
      <c r="D90" s="15" t="n">
        <v>4532.8</v>
      </c>
      <c r="E90" s="8" t="inlineStr">
        <is>
          <t>USD/oz</t>
        </is>
      </c>
      <c r="F90" s="13">
        <f>IFERROR(D90/D79-1,"")</f>
        <v/>
      </c>
      <c r="G90" s="8" t="inlineStr">
        <is>
          <t>monthly</t>
        </is>
      </c>
    </row>
    <row r="91">
      <c r="A91" s="5" t="inlineStr">
        <is>
          <t>Алт (Gold)</t>
        </is>
      </c>
      <c r="B91" s="5" t="n">
        <v>2026</v>
      </c>
      <c r="C91" s="5" t="n">
        <v>6</v>
      </c>
      <c r="D91" s="16" t="n">
        <v>4346.8</v>
      </c>
      <c r="E91" s="5" t="inlineStr">
        <is>
          <t>USD/oz</t>
        </is>
      </c>
      <c r="F91" s="14">
        <f>IFERROR(D91/D80-1,"")</f>
        <v/>
      </c>
      <c r="G91" s="5" t="inlineStr">
        <is>
          <t>monthly</t>
        </is>
      </c>
    </row>
    <row r="92">
      <c r="A92" s="8" t="inlineStr">
        <is>
          <t>Алт (Gold)</t>
        </is>
      </c>
      <c r="B92" s="8" t="n">
        <v>2026</v>
      </c>
      <c r="C92" s="8" t="n">
        <v>7</v>
      </c>
      <c r="D92" s="15" t="n">
        <v>4091.5</v>
      </c>
      <c r="E92" s="8" t="inlineStr">
        <is>
          <t>USD/oz</t>
        </is>
      </c>
      <c r="F92" s="13">
        <f>IFERROR(D92/D81-1,"")</f>
        <v/>
      </c>
      <c r="G92" s="8" t="inlineStr">
        <is>
          <t>monthly</t>
        </is>
      </c>
    </row>
    <row r="93">
      <c r="A93" s="5" t="inlineStr">
        <is>
          <t>Төмрийн хүдэр (Iron ore)</t>
        </is>
      </c>
      <c r="B93" s="5" t="n">
        <v>2024</v>
      </c>
      <c r="C93" s="5" t="n">
        <v>1</v>
      </c>
      <c r="D93" s="16" t="n">
        <v>79.5</v>
      </c>
      <c r="E93" s="5" t="inlineStr">
        <is>
          <t>USD/t</t>
        </is>
      </c>
      <c r="F93" s="14" t="n"/>
      <c r="G93" s="5" t="inlineStr">
        <is>
          <t>monthly</t>
        </is>
      </c>
    </row>
    <row r="94">
      <c r="A94" s="8" t="inlineStr">
        <is>
          <t>Төмрийн хүдэр (Iron ore)</t>
        </is>
      </c>
      <c r="B94" s="8" t="n">
        <v>2024</v>
      </c>
      <c r="C94" s="8" t="n">
        <v>2</v>
      </c>
      <c r="D94" s="15" t="n">
        <v>81.5</v>
      </c>
      <c r="E94" s="8" t="inlineStr">
        <is>
          <t>USD/t</t>
        </is>
      </c>
      <c r="F94" s="13" t="n"/>
      <c r="G94" s="8" t="inlineStr">
        <is>
          <t>monthly</t>
        </is>
      </c>
    </row>
    <row r="95">
      <c r="A95" s="5" t="inlineStr">
        <is>
          <t>Төмрийн хүдэр (Iron ore)</t>
        </is>
      </c>
      <c r="B95" s="5" t="n">
        <v>2024</v>
      </c>
      <c r="C95" s="5" t="n">
        <v>3</v>
      </c>
      <c r="D95" s="16" t="n">
        <v>79.59999999999999</v>
      </c>
      <c r="E95" s="5" t="inlineStr">
        <is>
          <t>USD/t</t>
        </is>
      </c>
      <c r="F95" s="14" t="n"/>
      <c r="G95" s="5" t="inlineStr">
        <is>
          <t>monthly</t>
        </is>
      </c>
    </row>
    <row r="96">
      <c r="A96" s="8" t="inlineStr">
        <is>
          <t>Төмрийн хүдэр (Iron ore)</t>
        </is>
      </c>
      <c r="B96" s="8" t="n">
        <v>2024</v>
      </c>
      <c r="C96" s="8" t="n">
        <v>4</v>
      </c>
      <c r="D96" s="15" t="n">
        <v>80</v>
      </c>
      <c r="E96" s="8" t="inlineStr">
        <is>
          <t>USD/t</t>
        </is>
      </c>
      <c r="F96" s="13" t="n"/>
      <c r="G96" s="8" t="inlineStr">
        <is>
          <t>monthly</t>
        </is>
      </c>
    </row>
    <row r="97">
      <c r="A97" s="5" t="inlineStr">
        <is>
          <t>Төмрийн хүдэр (Iron ore)</t>
        </is>
      </c>
      <c r="B97" s="5" t="n">
        <v>2024</v>
      </c>
      <c r="C97" s="5" t="n">
        <v>5</v>
      </c>
      <c r="D97" s="16" t="n">
        <v>80.8</v>
      </c>
      <c r="E97" s="5" t="inlineStr">
        <is>
          <t>USD/t</t>
        </is>
      </c>
      <c r="F97" s="14" t="n"/>
      <c r="G97" s="5" t="inlineStr">
        <is>
          <t>monthly</t>
        </is>
      </c>
    </row>
    <row r="98">
      <c r="A98" s="8" t="inlineStr">
        <is>
          <t>Төмрийн хүдэр (Iron ore)</t>
        </is>
      </c>
      <c r="B98" s="8" t="n">
        <v>2024</v>
      </c>
      <c r="C98" s="8" t="n">
        <v>6</v>
      </c>
      <c r="D98" s="15" t="n">
        <v>86.40000000000001</v>
      </c>
      <c r="E98" s="8" t="inlineStr">
        <is>
          <t>USD/t</t>
        </is>
      </c>
      <c r="F98" s="13" t="n"/>
      <c r="G98" s="8" t="inlineStr">
        <is>
          <t>monthly</t>
        </is>
      </c>
    </row>
    <row r="99">
      <c r="A99" s="5" t="inlineStr">
        <is>
          <t>Төмрийн хүдэр (Iron ore)</t>
        </is>
      </c>
      <c r="B99" s="5" t="n">
        <v>2024</v>
      </c>
      <c r="C99" s="5" t="n">
        <v>7</v>
      </c>
      <c r="D99" s="16" t="n">
        <v>84.8</v>
      </c>
      <c r="E99" s="5" t="inlineStr">
        <is>
          <t>USD/t</t>
        </is>
      </c>
      <c r="F99" s="14" t="n"/>
      <c r="G99" s="5" t="inlineStr">
        <is>
          <t>monthly</t>
        </is>
      </c>
    </row>
    <row r="100">
      <c r="A100" s="8" t="inlineStr">
        <is>
          <t>Төмрийн хүдэр (Iron ore)</t>
        </is>
      </c>
      <c r="B100" s="8" t="n">
        <v>2024</v>
      </c>
      <c r="C100" s="8" t="n">
        <v>8</v>
      </c>
      <c r="D100" s="15" t="n">
        <v>85.09999999999999</v>
      </c>
      <c r="E100" s="8" t="inlineStr">
        <is>
          <t>USD/t</t>
        </is>
      </c>
      <c r="F100" s="13" t="n"/>
      <c r="G100" s="8" t="inlineStr">
        <is>
          <t>monthly</t>
        </is>
      </c>
    </row>
    <row r="101">
      <c r="A101" s="5" t="inlineStr">
        <is>
          <t>Төмрийн хүдэр (Iron ore)</t>
        </is>
      </c>
      <c r="B101" s="5" t="n">
        <v>2024</v>
      </c>
      <c r="C101" s="5" t="n">
        <v>9</v>
      </c>
      <c r="D101" s="16" t="n">
        <v>78</v>
      </c>
      <c r="E101" s="5" t="inlineStr">
        <is>
          <t>USD/t</t>
        </is>
      </c>
      <c r="F101" s="14" t="n"/>
      <c r="G101" s="5" t="inlineStr">
        <is>
          <t>monthly</t>
        </is>
      </c>
    </row>
    <row r="102">
      <c r="A102" s="8" t="inlineStr">
        <is>
          <t>Төмрийн хүдэр (Iron ore)</t>
        </is>
      </c>
      <c r="B102" s="8" t="n">
        <v>2024</v>
      </c>
      <c r="C102" s="8" t="n">
        <v>10</v>
      </c>
      <c r="D102" s="15" t="n">
        <v>75.59999999999999</v>
      </c>
      <c r="E102" s="8" t="inlineStr">
        <is>
          <t>USD/t</t>
        </is>
      </c>
      <c r="F102" s="13" t="n"/>
      <c r="G102" s="8" t="inlineStr">
        <is>
          <t>monthly</t>
        </is>
      </c>
    </row>
    <row r="103">
      <c r="A103" s="5" t="inlineStr">
        <is>
          <t>Төмрийн хүдэр (Iron ore)</t>
        </is>
      </c>
      <c r="B103" s="5" t="n">
        <v>2024</v>
      </c>
      <c r="C103" s="5" t="n">
        <v>11</v>
      </c>
      <c r="D103" s="16" t="n">
        <v>76.7</v>
      </c>
      <c r="E103" s="5" t="inlineStr">
        <is>
          <t>USD/t</t>
        </is>
      </c>
      <c r="F103" s="14" t="n"/>
      <c r="G103" s="5" t="inlineStr">
        <is>
          <t>monthly</t>
        </is>
      </c>
    </row>
    <row r="104">
      <c r="A104" s="8" t="inlineStr">
        <is>
          <t>Төмрийн хүдэр (Iron ore)</t>
        </is>
      </c>
      <c r="B104" s="8" t="n">
        <v>2025</v>
      </c>
      <c r="C104" s="8" t="n">
        <v>1</v>
      </c>
      <c r="D104" s="15" t="n">
        <v>74.09999999999999</v>
      </c>
      <c r="E104" s="8" t="inlineStr">
        <is>
          <t>USD/t</t>
        </is>
      </c>
      <c r="F104" s="13">
        <f>IFERROR(D104/D93-1,"")</f>
        <v/>
      </c>
      <c r="G104" s="8" t="inlineStr">
        <is>
          <t>monthly</t>
        </is>
      </c>
    </row>
    <row r="105">
      <c r="A105" s="5" t="inlineStr">
        <is>
          <t>Төмрийн хүдэр (Iron ore)</t>
        </is>
      </c>
      <c r="B105" s="5" t="n">
        <v>2025</v>
      </c>
      <c r="C105" s="5" t="n">
        <v>2</v>
      </c>
      <c r="D105" s="16" t="n">
        <v>72</v>
      </c>
      <c r="E105" s="5" t="inlineStr">
        <is>
          <t>USD/t</t>
        </is>
      </c>
      <c r="F105" s="14">
        <f>IFERROR(D105/D94-1,"")</f>
        <v/>
      </c>
      <c r="G105" s="5" t="inlineStr">
        <is>
          <t>monthly</t>
        </is>
      </c>
    </row>
    <row r="106">
      <c r="A106" s="8" t="inlineStr">
        <is>
          <t>Төмрийн хүдэр (Iron ore)</t>
        </is>
      </c>
      <c r="B106" s="8" t="n">
        <v>2025</v>
      </c>
      <c r="C106" s="8" t="n">
        <v>3</v>
      </c>
      <c r="D106" s="15" t="n">
        <v>71.8</v>
      </c>
      <c r="E106" s="8" t="inlineStr">
        <is>
          <t>USD/t</t>
        </is>
      </c>
      <c r="F106" s="13">
        <f>IFERROR(D106/D95-1,"")</f>
        <v/>
      </c>
      <c r="G106" s="8" t="inlineStr">
        <is>
          <t>monthly</t>
        </is>
      </c>
    </row>
    <row r="107">
      <c r="A107" s="5" t="inlineStr">
        <is>
          <t>Төмрийн хүдэр (Iron ore)</t>
        </is>
      </c>
      <c r="B107" s="5" t="n">
        <v>2025</v>
      </c>
      <c r="C107" s="5" t="n">
        <v>4</v>
      </c>
      <c r="D107" s="16" t="n">
        <v>70.2</v>
      </c>
      <c r="E107" s="5" t="inlineStr">
        <is>
          <t>USD/t</t>
        </is>
      </c>
      <c r="F107" s="14">
        <f>IFERROR(D107/D96-1,"")</f>
        <v/>
      </c>
      <c r="G107" s="5" t="inlineStr">
        <is>
          <t>monthly</t>
        </is>
      </c>
    </row>
    <row r="108">
      <c r="A108" s="8" t="inlineStr">
        <is>
          <t>Төмрийн хүдэр (Iron ore)</t>
        </is>
      </c>
      <c r="B108" s="8" t="n">
        <v>2025</v>
      </c>
      <c r="C108" s="8" t="n">
        <v>5</v>
      </c>
      <c r="D108" s="15" t="n">
        <v>68.40000000000001</v>
      </c>
      <c r="E108" s="8" t="inlineStr">
        <is>
          <t>USD/t</t>
        </is>
      </c>
      <c r="F108" s="13">
        <f>IFERROR(D108/D97-1,"")</f>
        <v/>
      </c>
      <c r="G108" s="8" t="inlineStr">
        <is>
          <t>monthly</t>
        </is>
      </c>
    </row>
    <row r="109">
      <c r="A109" s="5" t="inlineStr">
        <is>
          <t>Төмрийн хүдэр (Iron ore)</t>
        </is>
      </c>
      <c r="B109" s="5" t="n">
        <v>2025</v>
      </c>
      <c r="C109" s="5" t="n">
        <v>6</v>
      </c>
      <c r="D109" s="16" t="n">
        <v>73</v>
      </c>
      <c r="E109" s="5" t="inlineStr">
        <is>
          <t>USD/t</t>
        </is>
      </c>
      <c r="F109" s="14">
        <f>IFERROR(D109/D98-1,"")</f>
        <v/>
      </c>
      <c r="G109" s="5" t="inlineStr">
        <is>
          <t>monthly</t>
        </is>
      </c>
    </row>
    <row r="110">
      <c r="A110" s="8" t="inlineStr">
        <is>
          <t>Төмрийн хүдэр (Iron ore)</t>
        </is>
      </c>
      <c r="B110" s="8" t="n">
        <v>2025</v>
      </c>
      <c r="C110" s="8" t="n">
        <v>7</v>
      </c>
      <c r="D110" s="15" t="n">
        <v>68.7</v>
      </c>
      <c r="E110" s="8" t="inlineStr">
        <is>
          <t>USD/t</t>
        </is>
      </c>
      <c r="F110" s="13">
        <f>IFERROR(D110/D99-1,"")</f>
        <v/>
      </c>
      <c r="G110" s="8" t="inlineStr">
        <is>
          <t>monthly</t>
        </is>
      </c>
    </row>
    <row r="111">
      <c r="A111" s="5" t="inlineStr">
        <is>
          <t>Төмрийн хүдэр (Iron ore)</t>
        </is>
      </c>
      <c r="B111" s="5" t="n">
        <v>2025</v>
      </c>
      <c r="C111" s="5" t="n">
        <v>8</v>
      </c>
      <c r="D111" s="16" t="n">
        <v>73.90000000000001</v>
      </c>
      <c r="E111" s="5" t="inlineStr">
        <is>
          <t>USD/t</t>
        </is>
      </c>
      <c r="F111" s="14">
        <f>IFERROR(D111/D100-1,"")</f>
        <v/>
      </c>
      <c r="G111" s="5" t="inlineStr">
        <is>
          <t>monthly</t>
        </is>
      </c>
    </row>
    <row r="112">
      <c r="A112" s="8" t="inlineStr">
        <is>
          <t>Төмрийн хүдэр (Iron ore)</t>
        </is>
      </c>
      <c r="B112" s="8" t="n">
        <v>2025</v>
      </c>
      <c r="C112" s="8" t="n">
        <v>9</v>
      </c>
      <c r="D112" s="15" t="n">
        <v>73.59999999999999</v>
      </c>
      <c r="E112" s="8" t="inlineStr">
        <is>
          <t>USD/t</t>
        </is>
      </c>
      <c r="F112" s="13">
        <f>IFERROR(D112/D101-1,"")</f>
        <v/>
      </c>
      <c r="G112" s="8" t="inlineStr">
        <is>
          <t>monthly</t>
        </is>
      </c>
    </row>
    <row r="113">
      <c r="A113" s="5" t="inlineStr">
        <is>
          <t>Төмрийн хүдэр (Iron ore)</t>
        </is>
      </c>
      <c r="B113" s="5" t="n">
        <v>2025</v>
      </c>
      <c r="C113" s="5" t="n">
        <v>10</v>
      </c>
      <c r="D113" s="16" t="n">
        <v>74.3</v>
      </c>
      <c r="E113" s="5" t="inlineStr">
        <is>
          <t>USD/t</t>
        </is>
      </c>
      <c r="F113" s="14">
        <f>IFERROR(D113/D102-1,"")</f>
        <v/>
      </c>
      <c r="G113" s="5" t="inlineStr">
        <is>
          <t>monthly</t>
        </is>
      </c>
    </row>
    <row r="114">
      <c r="A114" s="8" t="inlineStr">
        <is>
          <t>Төмрийн хүдэр (Iron ore)</t>
        </is>
      </c>
      <c r="B114" s="8" t="n">
        <v>2025</v>
      </c>
      <c r="C114" s="8" t="n">
        <v>11</v>
      </c>
      <c r="D114" s="15" t="n">
        <v>75.3</v>
      </c>
      <c r="E114" s="8" t="inlineStr">
        <is>
          <t>USD/t</t>
        </is>
      </c>
      <c r="F114" s="13">
        <f>IFERROR(D114/D103-1,"")</f>
        <v/>
      </c>
      <c r="G114" s="8" t="inlineStr">
        <is>
          <t>monthly</t>
        </is>
      </c>
    </row>
    <row r="115">
      <c r="A115" s="5" t="inlineStr">
        <is>
          <t>Төмрийн хүдэр (Iron ore)</t>
        </is>
      </c>
      <c r="B115" s="5" t="n">
        <v>2026</v>
      </c>
      <c r="C115" s="5" t="n">
        <v>1</v>
      </c>
      <c r="D115" s="16" t="n">
        <v>70.7</v>
      </c>
      <c r="E115" s="5" t="inlineStr">
        <is>
          <t>USD/t</t>
        </is>
      </c>
      <c r="F115" s="14">
        <f>IFERROR(D115/D104-1,"")</f>
        <v/>
      </c>
      <c r="G115" s="5" t="inlineStr">
        <is>
          <t>monthly</t>
        </is>
      </c>
    </row>
    <row r="116">
      <c r="A116" s="8" t="inlineStr">
        <is>
          <t>Төмрийн хүдэр (Iron ore)</t>
        </is>
      </c>
      <c r="B116" s="8" t="n">
        <v>2026</v>
      </c>
      <c r="C116" s="8" t="n">
        <v>2</v>
      </c>
      <c r="D116" s="15" t="n">
        <v>69.5</v>
      </c>
      <c r="E116" s="8" t="inlineStr">
        <is>
          <t>USD/t</t>
        </is>
      </c>
      <c r="F116" s="13">
        <f>IFERROR(D116/D105-1,"")</f>
        <v/>
      </c>
      <c r="G116" s="8" t="inlineStr">
        <is>
          <t>monthly</t>
        </is>
      </c>
    </row>
    <row r="117">
      <c r="A117" s="5" t="inlineStr">
        <is>
          <t>Төмрийн хүдэр (Iron ore)</t>
        </is>
      </c>
      <c r="B117" s="5" t="n">
        <v>2026</v>
      </c>
      <c r="C117" s="5" t="n">
        <v>3</v>
      </c>
      <c r="D117" s="16" t="n">
        <v>68</v>
      </c>
      <c r="E117" s="5" t="inlineStr">
        <is>
          <t>USD/t</t>
        </is>
      </c>
      <c r="F117" s="14">
        <f>IFERROR(D117/D106-1,"")</f>
        <v/>
      </c>
      <c r="G117" s="5" t="inlineStr">
        <is>
          <t>monthly</t>
        </is>
      </c>
    </row>
    <row r="118">
      <c r="A118" s="8" t="inlineStr">
        <is>
          <t>Төмрийн хүдэр (Iron ore)</t>
        </is>
      </c>
      <c r="B118" s="8" t="n">
        <v>2026</v>
      </c>
      <c r="C118" s="8" t="n">
        <v>4</v>
      </c>
      <c r="D118" s="15" t="n">
        <v>70.2</v>
      </c>
      <c r="E118" s="8" t="inlineStr">
        <is>
          <t>USD/t</t>
        </is>
      </c>
      <c r="F118" s="13">
        <f>IFERROR(D118/D107-1,"")</f>
        <v/>
      </c>
      <c r="G118" s="8" t="inlineStr">
        <is>
          <t>monthly</t>
        </is>
      </c>
    </row>
    <row r="119">
      <c r="A119" s="5" t="inlineStr">
        <is>
          <t>Төмрийн хүдэр (Iron ore)</t>
        </is>
      </c>
      <c r="B119" s="5" t="n">
        <v>2026</v>
      </c>
      <c r="C119" s="5" t="n">
        <v>5</v>
      </c>
      <c r="D119" s="16" t="n">
        <v>71.90000000000001</v>
      </c>
      <c r="E119" s="5" t="inlineStr">
        <is>
          <t>USD/t</t>
        </is>
      </c>
      <c r="F119" s="14">
        <f>IFERROR(D119/D108-1,"")</f>
        <v/>
      </c>
      <c r="G119" s="5" t="inlineStr">
        <is>
          <t>monthly</t>
        </is>
      </c>
    </row>
    <row r="120">
      <c r="A120" s="8" t="inlineStr">
        <is>
          <t>Төмрийн хүдэр (Iron ore)</t>
        </is>
      </c>
      <c r="B120" s="8" t="n">
        <v>2026</v>
      </c>
      <c r="C120" s="8" t="n">
        <v>6</v>
      </c>
      <c r="D120" s="15" t="n">
        <v>72.90000000000001</v>
      </c>
      <c r="E120" s="8" t="inlineStr">
        <is>
          <t>USD/t</t>
        </is>
      </c>
      <c r="F120" s="13">
        <f>IFERROR(D120/D109-1,"")</f>
        <v/>
      </c>
      <c r="G120" s="8" t="inlineStr">
        <is>
          <t>monthly</t>
        </is>
      </c>
    </row>
    <row r="121">
      <c r="A121" s="5" t="inlineStr">
        <is>
          <t>Төмрийн хүдэр (Iron ore)</t>
        </is>
      </c>
      <c r="B121" s="5" t="n">
        <v>2026</v>
      </c>
      <c r="C121" s="5" t="n">
        <v>7</v>
      </c>
      <c r="D121" s="16" t="n">
        <v>70.40000000000001</v>
      </c>
      <c r="E121" s="5" t="inlineStr">
        <is>
          <t>USD/t</t>
        </is>
      </c>
      <c r="F121" s="14">
        <f>IFERROR(D121/D110-1,"")</f>
        <v/>
      </c>
      <c r="G121" s="5" t="inlineStr">
        <is>
          <t>monthly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58" customWidth="1" min="1" max="1"/>
    <col width="18" customWidth="1" min="2" max="2"/>
    <col width="18" customWidth="1" min="3" max="3"/>
    <col width="16" customWidth="1" min="4" max="4"/>
    <col width="26" customWidth="1" min="5" max="5"/>
  </cols>
  <sheetData>
    <row r="1">
      <c r="A1" s="1" t="inlineStr">
        <is>
          <t>Mongolbank statistics cards</t>
        </is>
      </c>
    </row>
    <row r="2">
      <c r="A2" s="2" t="inlineStr">
        <is>
          <t>Deck slide 12 (BoP, reserves, external debt, FDI) and slide 16 inputs where exposed. Every card returned by the section sweep is listed.</t>
        </is>
      </c>
    </row>
    <row r="4">
      <c r="A4" s="10" t="inlineStr">
        <is>
          <t>МЭДЭЭЛЛИЙН ОН САР / DATA AS OF:  Mongolbank cards — see card dates (PER-CARD)   |   Balance of payments — 2026-06 (LAGGED)      [тайлант үе / reported month: 2026-07]   ← ЭНЭ ХУУДСЫН ТОО ӨМНӨХ САРЫНХ (previous month's data)</t>
        </is>
      </c>
    </row>
    <row r="6">
      <c r="A6" s="3" t="inlineStr">
        <is>
          <t>Карт (Card)</t>
        </is>
      </c>
      <c r="B6" s="3" t="inlineStr">
        <is>
          <t>Утга (Reported value, raw text)</t>
        </is>
      </c>
      <c r="C6" s="3" t="inlineStr">
        <is>
          <t>Тоон утга (Parsed value)</t>
        </is>
      </c>
      <c r="D6" s="3" t="inlineStr">
        <is>
          <t>Огноо (As of)</t>
        </is>
      </c>
      <c r="E6" s="3" t="inlineStr">
        <is>
          <t>Section file</t>
        </is>
      </c>
    </row>
    <row r="7">
      <c r="A7" s="4" t="inlineStr">
        <is>
          <t>Төлбөрийн тэнцэл</t>
        </is>
      </c>
      <c r="B7" s="5" t="inlineStr">
        <is>
          <t>567 сая $, жилийн өөрчлөлт 1,017 сая $</t>
        </is>
      </c>
      <c r="C7" s="16" t="n">
        <v>567</v>
      </c>
      <c r="D7" s="5" t="inlineStr">
        <is>
          <t>2026 оны 6-р сар</t>
        </is>
      </c>
      <c r="E7" s="5" t="inlineStr">
        <is>
          <t>mongolbank_external.json</t>
        </is>
      </c>
    </row>
    <row r="8">
      <c r="A8" s="7" t="inlineStr">
        <is>
          <t>Гадаад хөрөнгө оруулалтын позиц</t>
        </is>
      </c>
      <c r="B8" s="8" t="inlineStr">
        <is>
          <t>-45,914 сая $, жилийн өөрчлөлт 2%</t>
        </is>
      </c>
      <c r="C8" s="15" t="n">
        <v>-45914</v>
      </c>
      <c r="D8" s="8" t="inlineStr">
        <is>
          <t>2026 оны 1-р улирал</t>
        </is>
      </c>
      <c r="E8" s="8" t="inlineStr">
        <is>
          <t>mongolbank_external.json</t>
        </is>
      </c>
    </row>
    <row r="9">
      <c r="A9" s="4" t="inlineStr">
        <is>
          <t>Монгол Улсын нийт гадаад өр</t>
        </is>
      </c>
      <c r="B9" s="5" t="inlineStr">
        <is>
          <t>40,218 сая $, жилийн өөрчлөлт 6.2%</t>
        </is>
      </c>
      <c r="C9" s="16" t="n">
        <v>40218</v>
      </c>
      <c r="D9" s="5" t="inlineStr">
        <is>
          <t>2026 оны 1-р улирал</t>
        </is>
      </c>
      <c r="E9" s="5" t="inlineStr">
        <is>
          <t>mongolbank_external.json</t>
        </is>
      </c>
    </row>
    <row r="10">
      <c r="A10" s="7" t="inlineStr">
        <is>
          <t>Гадаад валютын улсын нөөц</t>
        </is>
      </c>
      <c r="B10" s="8" t="inlineStr">
        <is>
          <t>7,963 сая $, жилийн өөрчлөлт 48%</t>
        </is>
      </c>
      <c r="C10" s="15" t="n">
        <v>7963</v>
      </c>
      <c r="D10" s="8" t="inlineStr">
        <is>
          <t>2026 оны 7-р сар</t>
        </is>
      </c>
      <c r="E10" s="8" t="inlineStr">
        <is>
          <t>mongolbank_external.json</t>
        </is>
      </c>
    </row>
    <row r="11">
      <c r="A11" s="4" t="inlineStr">
        <is>
          <t>Шууд хөрөнгө оруулалтын статистик</t>
        </is>
      </c>
      <c r="B11" s="5" t="inlineStr">
        <is>
          <t>37,509 сая $, жилийн өөрчлөлт 11%</t>
        </is>
      </c>
      <c r="C11" s="16" t="n">
        <v>37509</v>
      </c>
      <c r="D11" s="5" t="inlineStr">
        <is>
          <t>2026 оны 1-р улирал</t>
        </is>
      </c>
      <c r="E11" s="5" t="inlineStr">
        <is>
          <t>mongolbank_external.json</t>
        </is>
      </c>
    </row>
    <row r="12">
      <c r="A12" s="7" t="inlineStr">
        <is>
          <t>Багцын хөрөнгө оруулалтын статистик</t>
        </is>
      </c>
      <c r="B12" s="8" t="inlineStr">
        <is>
          <t>Актив: 599 сая $, Пассив: -4,834 сая $, жилийн өөрчлөлт А:8%, П: 21%</t>
        </is>
      </c>
      <c r="C12" s="15" t="n">
        <v>599</v>
      </c>
      <c r="D12" s="8" t="inlineStr">
        <is>
          <t>2026 оны 1-р улирал</t>
        </is>
      </c>
      <c r="E12" s="8" t="inlineStr">
        <is>
          <t>mongolbank_external.json</t>
        </is>
      </c>
    </row>
    <row r="13">
      <c r="A13" s="4" t="inlineStr">
        <is>
          <t>Гадаад худалдаа</t>
        </is>
      </c>
      <c r="B13" s="5" t="inlineStr">
        <is>
          <t>Тэнцэл: 5,048 сая $, жилийн өөрчлөлт 3x</t>
        </is>
      </c>
      <c r="C13" s="16" t="n">
        <v>5048</v>
      </c>
      <c r="D13" s="5" t="inlineStr">
        <is>
          <t>2026 оны 7-р сар</t>
        </is>
      </c>
      <c r="E13" s="5" t="inlineStr">
        <is>
          <t>mongolbank_external.json</t>
        </is>
      </c>
    </row>
    <row r="14">
      <c r="A14" s="7" t="inlineStr">
        <is>
          <t>Мөнгөний үзүүлэлтүүд</t>
        </is>
      </c>
      <c r="B14" s="8" t="inlineStr">
        <is>
          <t>Нийт 53.1 их наяд ₮, жилийн өөрчлөлт +25.2%</t>
        </is>
      </c>
      <c r="C14" s="15" t="n">
        <v>53.1</v>
      </c>
      <c r="D14" s="8" t="inlineStr">
        <is>
          <t>2026 оны 7-р сар</t>
        </is>
      </c>
      <c r="E14" s="8" t="inlineStr">
        <is>
          <t>mongolbank_section_10.json</t>
        </is>
      </c>
    </row>
    <row r="15">
      <c r="A15" s="4" t="inlineStr">
        <is>
          <t>Банкны салбарын тайлан тэнцэл</t>
        </is>
      </c>
      <c r="B15" s="5" t="inlineStr">
        <is>
          <t>Нийт актив 88.3 их наяд төгрөг, жилийн өөрчлөлт +25.9%</t>
        </is>
      </c>
      <c r="C15" s="16" t="n">
        <v>88.3</v>
      </c>
      <c r="D15" s="5" t="inlineStr">
        <is>
          <t>2026 оны 7-р сар</t>
        </is>
      </c>
      <c r="E15" s="5" t="inlineStr">
        <is>
          <t>mongolbank_section_10.json</t>
        </is>
      </c>
    </row>
    <row r="16">
      <c r="A16" s="7" t="inlineStr">
        <is>
          <t>Хадгаламжийн байгууллагын тойм</t>
        </is>
      </c>
      <c r="B16" s="8" t="inlineStr">
        <is>
          <t>M2 мөнгөний өсөлтийн 15.8 нэгж хувийг ГЦА, 9.5 нэгж хувийг ДЦА бүрдүүлэв.</t>
        </is>
      </c>
      <c r="C16" s="15" t="n">
        <v>2</v>
      </c>
      <c r="D16" s="8" t="inlineStr">
        <is>
          <t>2026 оны 7-р сар</t>
        </is>
      </c>
      <c r="E16" s="8" t="inlineStr">
        <is>
          <t>mongolbank_section_10.json</t>
        </is>
      </c>
    </row>
    <row r="17">
      <c r="A17" s="4" t="inlineStr">
        <is>
          <t>Банкны салбарын зээл</t>
        </is>
      </c>
      <c r="B17" s="5" t="inlineStr">
        <is>
          <t>Нийт 47.9 их наяд ₮, жилийн өөрчлөлт +13.0%</t>
        </is>
      </c>
      <c r="C17" s="16" t="n">
        <v>47.9</v>
      </c>
      <c r="D17" s="5" t="inlineStr">
        <is>
          <t>2026 оны 7-р сар</t>
        </is>
      </c>
      <c r="E17" s="5" t="inlineStr">
        <is>
          <t>mongolbank_section_10.json</t>
        </is>
      </c>
    </row>
    <row r="18">
      <c r="A18" s="7" t="inlineStr">
        <is>
          <t>Хадгаламжийн байгууллагын зээл</t>
        </is>
      </c>
      <c r="B18" s="8" t="inlineStr">
        <is>
          <t>Нийт 48.2 их наяд төгрөг, жилийн өөрчлөлт +13.0%</t>
        </is>
      </c>
      <c r="C18" s="15" t="n">
        <v>48.2</v>
      </c>
      <c r="D18" s="8" t="inlineStr">
        <is>
          <t>2026 оны 7-р сар</t>
        </is>
      </c>
      <c r="E18" s="8" t="inlineStr">
        <is>
          <t>mongolbank_section_10.json</t>
        </is>
      </c>
    </row>
    <row r="19">
      <c r="A19" s="4" t="inlineStr">
        <is>
          <t>Хүү, хугацаа</t>
        </is>
      </c>
      <c r="B19" s="5" t="inlineStr">
        <is>
          <t>Олгосон зээлийн хүү 17.4%, Шинэ хадгаламжийн хүү 11.4%</t>
        </is>
      </c>
      <c r="C19" s="16" t="n">
        <v>17.4</v>
      </c>
      <c r="D19" s="5" t="inlineStr">
        <is>
          <t>2026 оны 7-р сар</t>
        </is>
      </c>
      <c r="E19" s="5" t="inlineStr">
        <is>
          <t>mongolbank_section_10.json</t>
        </is>
      </c>
    </row>
    <row r="20">
      <c r="A20" s="7" t="inlineStr">
        <is>
          <t>Ипотекийн зээл</t>
        </is>
      </c>
      <c r="B20" s="8" t="inlineStr">
        <is>
          <t>Нийт 12.4 их наяд ₮, жилийн өөрчлөлт +18.6%</t>
        </is>
      </c>
      <c r="C20" s="15" t="n">
        <v>12.4</v>
      </c>
      <c r="D20" s="8" t="inlineStr">
        <is>
          <t>2026 оны 7-р сар</t>
        </is>
      </c>
      <c r="E20" s="8" t="inlineStr">
        <is>
          <t>mongolbank_section_10.json</t>
        </is>
      </c>
    </row>
    <row r="21">
      <c r="A21" s="4" t="inlineStr">
        <is>
          <t>Ногоон зээл</t>
        </is>
      </c>
      <c r="B21" s="5" t="inlineStr">
        <is>
          <t>Нийт 2.9 их наяд ₮, жилийн өөрчлөлт +46.2%</t>
        </is>
      </c>
      <c r="C21" s="16" t="n">
        <v>2.9</v>
      </c>
      <c r="D21" s="5" t="inlineStr">
        <is>
          <t>2026 оны 1-р улирал</t>
        </is>
      </c>
      <c r="E21" s="5" t="inlineStr">
        <is>
          <t>mongolbank_section_10.json</t>
        </is>
      </c>
    </row>
    <row r="24">
      <c r="A24" s="23" t="inlineStr">
        <is>
          <t>Balance of payments — annual sums (mln USD; latest year is YTD). Source: bop_manual.xlsx</t>
        </is>
      </c>
    </row>
    <row r="25">
      <c r="A25" s="3" t="inlineStr">
        <is>
          <t>Данс (Account)</t>
        </is>
      </c>
      <c r="B25" s="3" t="inlineStr">
        <is>
          <t>2025</t>
        </is>
      </c>
      <c r="C25" s="3" t="inlineStr">
        <is>
          <t>2026</t>
        </is>
      </c>
    </row>
    <row r="26">
      <c r="A26" s="4" t="inlineStr">
        <is>
          <t>Урсгал данс (Current account)</t>
        </is>
      </c>
      <c r="B26" s="16" t="n">
        <v>-2119.9</v>
      </c>
      <c r="C26" s="16" t="n">
        <v>207.2</v>
      </c>
    </row>
    <row r="27">
      <c r="A27" s="7" t="inlineStr">
        <is>
          <t>Хөрөнгийн данс (Capital account)</t>
        </is>
      </c>
      <c r="B27" s="15" t="n">
        <v>121.2</v>
      </c>
      <c r="C27" s="15" t="n">
        <v>50</v>
      </c>
    </row>
    <row r="28">
      <c r="A28" s="4" t="inlineStr">
        <is>
          <t>Санхүүгийн данс (Financial account)</t>
        </is>
      </c>
      <c r="B28" s="16" t="n">
        <v>-3271.2</v>
      </c>
      <c r="C28" s="16" t="n">
        <v>-209.3</v>
      </c>
    </row>
    <row r="29">
      <c r="A29" s="7" t="inlineStr">
        <is>
          <t>Алдаа болон орхигдуулга (Errors &amp; omissions)</t>
        </is>
      </c>
      <c r="B29" s="15" t="n">
        <v>-238.2</v>
      </c>
      <c r="C29" s="15" t="n">
        <v>100.1</v>
      </c>
    </row>
    <row r="30">
      <c r="A30" s="4" t="inlineStr">
        <is>
          <t>Төлбөрийн тэнцлийн нийт дүн (Overall balance)</t>
        </is>
      </c>
      <c r="B30" s="16" t="n">
        <v>1034.3</v>
      </c>
      <c r="C30" s="16" t="n">
        <v>566.6</v>
      </c>
    </row>
    <row r="31">
      <c r="A31" s="7" t="inlineStr">
        <is>
          <t>Нөөц хөрөнгө (Reserve assets)</t>
        </is>
      </c>
      <c r="B31" s="15" t="n">
        <v>1034.3</v>
      </c>
      <c r="C31" s="15" t="n">
        <v>566.6</v>
      </c>
    </row>
    <row r="34">
      <c r="A34" s="23" t="inlineStr">
        <is>
          <t>Төлбөрийн тэнцэл, бүлгээр (Balance of payments by section and component, mln USD)</t>
        </is>
      </c>
    </row>
    <row r="35">
      <c r="A35" s="5" t="inlineStr">
        <is>
          <t>Each section is followed by its own components. Indented rows sit one level deeper and are already included in the line above them, so only the section rows should be added together.</t>
        </is>
      </c>
    </row>
    <row r="36">
      <c r="A36" s="3" t="inlineStr">
        <is>
          <t>Бүлэг / бүрэлдэхүүн (Section / component)</t>
        </is>
      </c>
      <c r="B36" s="3" t="inlineStr">
        <is>
          <t>2025 I-6 (mln USD)</t>
        </is>
      </c>
      <c r="C36" s="3" t="inlineStr">
        <is>
          <t>2026 I-6 (mln USD)</t>
        </is>
      </c>
      <c r="D36" s="3" t="inlineStr">
        <is>
          <t>Өөрчлөлт (Change)</t>
        </is>
      </c>
    </row>
    <row r="37">
      <c r="A37" s="4" t="inlineStr">
        <is>
          <t>I. УРСГАЛ ДАНС</t>
        </is>
      </c>
      <c r="B37" s="16" t="n">
        <v>-1752.49</v>
      </c>
      <c r="C37" s="16" t="n">
        <v>207.21</v>
      </c>
      <c r="D37" s="32">
        <f>C37-B37</f>
        <v/>
      </c>
    </row>
    <row r="38">
      <c r="A38" s="8" t="inlineStr">
        <is>
          <t xml:space="preserve">    Бараа ба үйлчилгээний худалдаа</t>
        </is>
      </c>
      <c r="B38" s="15" t="n">
        <v>-686.65</v>
      </c>
      <c r="C38" s="15" t="n">
        <v>2765.8</v>
      </c>
      <c r="D38" s="15">
        <f>C38-B38</f>
        <v/>
      </c>
    </row>
    <row r="39">
      <c r="A39" s="5" t="inlineStr">
        <is>
          <t xml:space="preserve">        1. Бараа</t>
        </is>
      </c>
      <c r="B39" s="16" t="n">
        <v>720.6799999999999</v>
      </c>
      <c r="C39" s="16" t="n">
        <v>4513.47</v>
      </c>
      <c r="D39" s="16">
        <f>C39-B39</f>
        <v/>
      </c>
    </row>
    <row r="40">
      <c r="A40" s="8" t="inlineStr">
        <is>
          <t xml:space="preserve">        2. Үйлчилгээ</t>
        </is>
      </c>
      <c r="B40" s="15" t="n">
        <v>-1407.32</v>
      </c>
      <c r="C40" s="15" t="n">
        <v>-1747.68</v>
      </c>
      <c r="D40" s="15">
        <f>C40-B40</f>
        <v/>
      </c>
    </row>
    <row r="41">
      <c r="A41" s="5" t="inlineStr">
        <is>
          <t xml:space="preserve">    3. Анхдагч орлого</t>
        </is>
      </c>
      <c r="B41" s="16" t="n">
        <v>-1213.19</v>
      </c>
      <c r="C41" s="16" t="n">
        <v>-2700.41</v>
      </c>
      <c r="D41" s="16">
        <f>C41-B41</f>
        <v/>
      </c>
    </row>
    <row r="42">
      <c r="A42" s="8" t="inlineStr">
        <is>
          <t xml:space="preserve">    4. Хоёрдогч орлого</t>
        </is>
      </c>
      <c r="B42" s="15" t="n">
        <v>147.34</v>
      </c>
      <c r="C42" s="15" t="n">
        <v>141.83</v>
      </c>
      <c r="D42" s="15">
        <f>C42-B42</f>
        <v/>
      </c>
    </row>
    <row r="43">
      <c r="A43" s="4" t="inlineStr">
        <is>
          <t>II. ХӨРӨНГИЙН ДАНС</t>
        </is>
      </c>
      <c r="B43" s="16" t="n">
        <v>50.68</v>
      </c>
      <c r="C43" s="16" t="n">
        <v>49.95</v>
      </c>
      <c r="D43" s="32">
        <f>C43-B43</f>
        <v/>
      </c>
    </row>
    <row r="44">
      <c r="A44" s="8" t="inlineStr">
        <is>
          <t xml:space="preserve">    1. Үйлдвэрлэхгүй санхүүгийн бус хөрөнгийн өсөлт (Дт)/ бууралт (Кр)</t>
        </is>
      </c>
      <c r="B44" s="15" t="n">
        <v>0</v>
      </c>
      <c r="C44" s="15" t="n">
        <v>0</v>
      </c>
      <c r="D44" s="15">
        <f>C44-B44</f>
        <v/>
      </c>
    </row>
    <row r="45">
      <c r="A45" s="5" t="inlineStr">
        <is>
          <t xml:space="preserve">    2. Хөрөнгийн шилжүүлэг</t>
        </is>
      </c>
      <c r="B45" s="16" t="n">
        <v>50.68</v>
      </c>
      <c r="C45" s="16" t="n">
        <v>49.95</v>
      </c>
      <c r="D45" s="16">
        <f>C45-B45</f>
        <v/>
      </c>
    </row>
    <row r="46">
      <c r="A46" s="7" t="inlineStr">
        <is>
          <t>III. САНХҮҮГИЙН ДАНС</t>
        </is>
      </c>
      <c r="B46" s="15" t="n">
        <v>-1257.23</v>
      </c>
      <c r="C46" s="15" t="n">
        <v>-209.3</v>
      </c>
      <c r="D46" s="33">
        <f>C46-B46</f>
        <v/>
      </c>
    </row>
    <row r="47">
      <c r="A47" s="5" t="inlineStr">
        <is>
          <t xml:space="preserve">    1. Шууд хөрөнгө оруулалт</t>
        </is>
      </c>
      <c r="B47" s="16" t="n">
        <v>-916.33</v>
      </c>
      <c r="C47" s="16" t="n">
        <v>-1232.67</v>
      </c>
      <c r="D47" s="16">
        <f>C47-B47</f>
        <v/>
      </c>
    </row>
    <row r="48">
      <c r="A48" s="8" t="inlineStr">
        <is>
          <t xml:space="preserve">    2. Багцын хөрөнгө оруулалт</t>
        </is>
      </c>
      <c r="B48" s="15" t="n">
        <v>-163.55</v>
      </c>
      <c r="C48" s="15" t="n">
        <v>-155.54</v>
      </c>
      <c r="D48" s="15">
        <f>C48-B48</f>
        <v/>
      </c>
    </row>
    <row r="49">
      <c r="A49" s="5" t="inlineStr">
        <is>
          <t xml:space="preserve">    3. Санхүүгийн үүсмэл хэрэгслүүд</t>
        </is>
      </c>
      <c r="B49" s="16" t="n">
        <v>15.06</v>
      </c>
      <c r="C49" s="16" t="n">
        <v>37.81</v>
      </c>
      <c r="D49" s="16">
        <f>C49-B49</f>
        <v/>
      </c>
    </row>
    <row r="50">
      <c r="A50" s="8" t="inlineStr">
        <is>
          <t xml:space="preserve">    4. Бусад хөрөнгө оруулалт</t>
        </is>
      </c>
      <c r="B50" s="15" t="n">
        <v>-192.4</v>
      </c>
      <c r="C50" s="15" t="n">
        <v>1141.09</v>
      </c>
      <c r="D50" s="15">
        <f>C50-B50</f>
        <v/>
      </c>
    </row>
    <row r="51">
      <c r="A51" s="4" t="inlineStr">
        <is>
          <t>IV. Алдаа болон орхигдуулга</t>
        </is>
      </c>
      <c r="B51" s="16" t="n">
        <v>-5.54</v>
      </c>
      <c r="C51" s="16" t="n">
        <v>100.13</v>
      </c>
      <c r="D51" s="32">
        <f>C51-B51</f>
        <v/>
      </c>
    </row>
    <row r="52">
      <c r="A52" s="7" t="inlineStr">
        <is>
          <t>V. НӨӨЦ ХӨРӨНГӨ</t>
        </is>
      </c>
      <c r="B52" s="15" t="n">
        <v>-450.13</v>
      </c>
      <c r="C52" s="15" t="n">
        <v>566.6</v>
      </c>
      <c r="D52" s="33">
        <f>C52-B52</f>
        <v/>
      </c>
    </row>
    <row r="53">
      <c r="A53" s="5" t="inlineStr">
        <is>
          <t xml:space="preserve">    1. ГВУН</t>
        </is>
      </c>
      <c r="B53" s="16" t="n">
        <v>-492.12</v>
      </c>
      <c r="C53" s="16" t="n">
        <v>548.71</v>
      </c>
      <c r="D53" s="16">
        <f>C53-B53</f>
        <v/>
      </c>
    </row>
    <row r="54">
      <c r="A54" s="8" t="inlineStr">
        <is>
          <t xml:space="preserve">    2. ОУВС-гийн зээл</t>
        </is>
      </c>
      <c r="B54" s="15" t="n">
        <v>-41.99</v>
      </c>
      <c r="C54" s="15" t="n">
        <v>-17.89</v>
      </c>
      <c r="D54" s="15">
        <f>C54-B54</f>
        <v/>
      </c>
    </row>
    <row r="55">
      <c r="A55" s="5" t="inlineStr">
        <is>
          <t xml:space="preserve">    3. Тусгай санхүүжилт</t>
        </is>
      </c>
      <c r="B55" s="16" t="n">
        <v>0</v>
      </c>
      <c r="C55" s="16" t="n">
        <v>0</v>
      </c>
      <c r="D55" s="16">
        <f>C55-B55</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64"/>
  <sheetViews>
    <sheetView workbookViewId="0">
      <pane ySplit="3" topLeftCell="A4" activePane="bottomLeft" state="frozen"/>
      <selection pane="bottomLeft"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8" customWidth="1" min="21" max="21"/>
    <col width="11" customWidth="1" min="22" max="22"/>
  </cols>
  <sheetData>
    <row r="1">
      <c r="A1" s="1" t="inlineStr">
        <is>
          <t>Banking sector — consolidated bank balance sheet</t>
        </is>
      </c>
    </row>
    <row r="2">
      <c r="A2" s="2" t="inlineStr">
        <is>
          <t>Deck slide 16. Source: Mongolbank 'Банкуудын нэгдсэн тайлан тэнцэл' xlsx (million MNT). change measured 2025.07.31 -&gt; 2026.07.31 (earliest column in the report; not necessarily 31 Dec)</t>
        </is>
      </c>
    </row>
    <row r="4">
      <c r="A4" s="6" t="inlineStr">
        <is>
          <t>МЭДЭЭЛЛИЙН ОН САР / DATA AS OF:  Bank balance sheet — 2026-07 (CURRENT)   |   Deposit tree — 2026-07 (CURRENT)      [тайлант үе / reported month: 2026-07]</t>
        </is>
      </c>
    </row>
    <row r="6">
      <c r="A6" s="3" t="inlineStr">
        <is>
          <t>Үзүүлэлт (Indicator)</t>
        </is>
      </c>
      <c r="B6" s="3" t="inlineStr">
        <is>
          <t>Түвшин 2025.07.31 (Level, mln ₮)</t>
        </is>
      </c>
      <c r="C6" s="3" t="inlineStr">
        <is>
          <t>Түвшин 2026.07.31 (Level, mln ₮)</t>
        </is>
      </c>
      <c r="D6" s="3" t="inlineStr">
        <is>
          <t>Өөрчлөлт (Change since first col)</t>
        </is>
      </c>
      <c r="E6" s="3" t="inlineStr">
        <is>
          <t>их наяд ₮ (Latest, tln ₮)</t>
        </is>
      </c>
    </row>
    <row r="7">
      <c r="A7" s="4" t="inlineStr">
        <is>
          <t>Нийт актив (Total assets)</t>
        </is>
      </c>
      <c r="B7" s="16" t="n">
        <v>70133413.7</v>
      </c>
      <c r="C7" s="16" t="n">
        <v>88314736.3</v>
      </c>
      <c r="D7" s="14">
        <f>IFERROR(C7/B7-1,"")</f>
        <v/>
      </c>
      <c r="E7" s="25">
        <f>IFERROR(C7/1E6,"")</f>
        <v/>
      </c>
    </row>
    <row r="8">
      <c r="A8" s="7" t="inlineStr">
        <is>
          <t>Дотоодын нийт зээл (Total loans, domestic)</t>
        </is>
      </c>
      <c r="B8" s="15" t="n">
        <v>42795499.3</v>
      </c>
      <c r="C8" s="15" t="n">
        <v>48448814.3</v>
      </c>
      <c r="D8" s="13">
        <f>IFERROR(C8/B8-1,"")</f>
        <v/>
      </c>
      <c r="E8" s="26">
        <f>IFERROR(C8/1E6,"")</f>
        <v/>
      </c>
    </row>
    <row r="9">
      <c r="A9" s="4" t="inlineStr">
        <is>
          <t>Төв банкны үнэт цаас (Central bank securities)</t>
        </is>
      </c>
      <c r="B9" s="16" t="n">
        <v>8124839.7</v>
      </c>
      <c r="C9" s="16" t="n">
        <v>13950233.6</v>
      </c>
      <c r="D9" s="14">
        <f>IFERROR(C9/B9-1,"")</f>
        <v/>
      </c>
      <c r="E9" s="25">
        <f>IFERROR(C9/1E6,"")</f>
        <v/>
      </c>
    </row>
    <row r="10">
      <c r="A10" s="7" t="inlineStr">
        <is>
          <t>Харилцах, хадгаламж (Current accounts + deposits)</t>
        </is>
      </c>
      <c r="B10" s="15" t="n">
        <v>39711140</v>
      </c>
      <c r="C10" s="15" t="n">
        <v>49532868.1</v>
      </c>
      <c r="D10" s="13">
        <f>IFERROR(C10/B10-1,"")</f>
        <v/>
      </c>
      <c r="E10" s="26">
        <f>IFERROR(C10/1E6,"")</f>
        <v/>
      </c>
    </row>
    <row r="11">
      <c r="A11" s="4" t="inlineStr">
        <is>
          <t>Анхаарал хандуулах зээл (Past-due / special mention)</t>
        </is>
      </c>
      <c r="B11" s="16" t="n">
        <v>1855928.4</v>
      </c>
      <c r="C11" s="16" t="n">
        <v>1236133.8</v>
      </c>
      <c r="D11" s="14">
        <f>IFERROR(C11/B11-1,"")</f>
        <v/>
      </c>
      <c r="E11" s="25">
        <f>IFERROR(C11/1E6,"")</f>
        <v/>
      </c>
    </row>
    <row r="12">
      <c r="A12" s="7" t="inlineStr">
        <is>
          <t>Чанаргүй зээл (Non-performing loans)</t>
        </is>
      </c>
      <c r="B12" s="15" t="n">
        <v>1874067.3</v>
      </c>
      <c r="C12" s="15" t="n">
        <v>2242577.9</v>
      </c>
      <c r="D12" s="13">
        <f>IFERROR(C12/B12-1,"")</f>
        <v/>
      </c>
      <c r="E12" s="26">
        <f>IFERROR(C12/1E6,"")</f>
        <v/>
      </c>
    </row>
    <row r="13">
      <c r="A13" s="4" t="inlineStr">
        <is>
          <t>Өөрийн хөрөнгө (Equity)</t>
        </is>
      </c>
      <c r="B13" s="16" t="n">
        <v>7709800.5</v>
      </c>
      <c r="C13" s="16" t="n">
        <v>8776028.9</v>
      </c>
      <c r="D13" s="14">
        <f>IFERROR(C13/B13-1,"")</f>
        <v/>
      </c>
      <c r="E13" s="25">
        <f>IFERROR(C13/1E6,"")</f>
        <v/>
      </c>
    </row>
    <row r="16">
      <c r="A16" s="23" t="inlineStr">
        <is>
          <t>Сар бүрийн түвшин (Monthly levels, mln ₮) per balance-sheet metric</t>
        </is>
      </c>
    </row>
    <row r="17">
      <c r="A17" s="3" t="inlineStr">
        <is>
          <t>Үзүүлэлт (Metric)</t>
        </is>
      </c>
      <c r="B17" s="3" t="inlineStr">
        <is>
          <t>2025.07.31</t>
        </is>
      </c>
      <c r="C17" s="3" t="inlineStr">
        <is>
          <t>2025.12.31</t>
        </is>
      </c>
      <c r="D17" s="3" t="inlineStr">
        <is>
          <t>2026.06.30</t>
        </is>
      </c>
      <c r="E17" s="3" t="inlineStr">
        <is>
          <t>2026.07.31</t>
        </is>
      </c>
    </row>
    <row r="18">
      <c r="A18" s="4" t="inlineStr">
        <is>
          <t>Нийт актив (Total assets)</t>
        </is>
      </c>
      <c r="B18" s="16" t="n">
        <v>70133413.66964395</v>
      </c>
      <c r="C18" s="16" t="n">
        <v>85425638.15214507</v>
      </c>
      <c r="D18" s="16" t="n">
        <v>92008676.77594018</v>
      </c>
      <c r="E18" s="16" t="n">
        <v>88314736.2864524</v>
      </c>
    </row>
    <row r="19">
      <c r="A19" s="7" t="inlineStr">
        <is>
          <t>Дотоодын нийт зээл (Total loans, domestic)</t>
        </is>
      </c>
      <c r="B19" s="15" t="n">
        <v>42795499.29452273</v>
      </c>
      <c r="C19" s="15" t="n">
        <v>44237246.52068419</v>
      </c>
      <c r="D19" s="15" t="n">
        <v>49478700.08893897</v>
      </c>
      <c r="E19" s="15" t="n">
        <v>48448814.25860777</v>
      </c>
    </row>
    <row r="20">
      <c r="A20" s="4" t="inlineStr">
        <is>
          <t>Төв банкны үнэт цаас (Central bank securities)</t>
        </is>
      </c>
      <c r="B20" s="16" t="n">
        <v>8124839.684875625</v>
      </c>
      <c r="C20" s="16" t="n">
        <v>10973337.29060647</v>
      </c>
      <c r="D20" s="16" t="n">
        <v>13939535.25130279</v>
      </c>
      <c r="E20" s="16" t="n">
        <v>13950233.55103525</v>
      </c>
    </row>
    <row r="21">
      <c r="A21" s="7" t="inlineStr">
        <is>
          <t>Харилцах, хадгаламж (Current accounts + deposits)</t>
        </is>
      </c>
      <c r="B21" s="15" t="n">
        <v>39711139.96231812</v>
      </c>
      <c r="C21" s="15" t="n">
        <v>42973445.46303795</v>
      </c>
      <c r="D21" s="15" t="n">
        <v>49437267.9645988</v>
      </c>
      <c r="E21" s="15" t="n">
        <v>49532868.0878552</v>
      </c>
    </row>
    <row r="22">
      <c r="A22" s="4" t="inlineStr">
        <is>
          <t>Анхаарал хандуулах зээл (Past-due / special mention)</t>
        </is>
      </c>
      <c r="B22" s="16" t="n">
        <v>1855928.372125858</v>
      </c>
      <c r="C22" s="16" t="n">
        <v>1492307.930649151</v>
      </c>
      <c r="D22" s="16" t="n">
        <v>1215900.144187924</v>
      </c>
      <c r="E22" s="16" t="n">
        <v>1236133.830067281</v>
      </c>
    </row>
    <row r="23">
      <c r="A23" s="7" t="inlineStr">
        <is>
          <t>Чанаргүй зээл (Non-performing loans)</t>
        </is>
      </c>
      <c r="B23" s="15" t="n">
        <v>1874067.272976019</v>
      </c>
      <c r="C23" s="15" t="n">
        <v>1949864.228681603</v>
      </c>
      <c r="D23" s="15" t="n">
        <v>2169930.98769138</v>
      </c>
      <c r="E23" s="15" t="n">
        <v>2242577.900723602</v>
      </c>
    </row>
    <row r="24">
      <c r="A24" s="4" t="inlineStr">
        <is>
          <t>Өөрийн хөрөнгө (Equity)</t>
        </is>
      </c>
      <c r="B24" s="16" t="n">
        <v>7709800.516325559</v>
      </c>
      <c r="C24" s="16" t="n">
        <v>8455129.539098859</v>
      </c>
      <c r="D24" s="16" t="n">
        <v>8641748.667596828</v>
      </c>
      <c r="E24" s="16" t="n">
        <v>8776028.933939403</v>
      </c>
    </row>
    <row r="27">
      <c r="A27" s="23" t="inlineStr">
        <is>
          <t>ХАРИЛЦАХ, ХАДГАЛАМЖ (deposits and current accounts, mln ₮) — Нийт пассив breakdown</t>
        </is>
      </c>
    </row>
    <row r="28">
      <c r="A28" s="5" t="inlineStr">
        <is>
          <t>Each block splits by currency, then by tenor for savings, then by holder. Indented rows are already included in the line above them, so only the two top-level blocks add to total deposits. Source: deposits_export.json</t>
        </is>
      </c>
    </row>
    <row r="29">
      <c r="A29" s="3" t="inlineStr">
        <is>
          <t>Үзүүлэлт (Item)</t>
        </is>
      </c>
      <c r="B29" s="3" t="inlineStr">
        <is>
          <t>2025-01</t>
        </is>
      </c>
      <c r="C29" s="3" t="inlineStr">
        <is>
          <t>2025-02</t>
        </is>
      </c>
      <c r="D29" s="3" t="inlineStr">
        <is>
          <t>2025-03</t>
        </is>
      </c>
      <c r="E29" s="3" t="inlineStr">
        <is>
          <t>2025-04</t>
        </is>
      </c>
      <c r="F29" s="3" t="inlineStr">
        <is>
          <t>2025-05</t>
        </is>
      </c>
      <c r="G29" s="3" t="inlineStr">
        <is>
          <t>2025-06</t>
        </is>
      </c>
      <c r="H29" s="3" t="inlineStr">
        <is>
          <t>2025-07</t>
        </is>
      </c>
      <c r="I29" s="3" t="inlineStr">
        <is>
          <t>2025-08</t>
        </is>
      </c>
      <c r="J29" s="3" t="inlineStr">
        <is>
          <t>2025-09</t>
        </is>
      </c>
      <c r="K29" s="3" t="inlineStr">
        <is>
          <t>2025-10</t>
        </is>
      </c>
      <c r="L29" s="3" t="inlineStr">
        <is>
          <t>2025-11</t>
        </is>
      </c>
      <c r="M29" s="3" t="inlineStr">
        <is>
          <t>2025-12</t>
        </is>
      </c>
      <c r="N29" s="3" t="inlineStr">
        <is>
          <t>2026-01</t>
        </is>
      </c>
      <c r="O29" s="3" t="inlineStr">
        <is>
          <t>2026-02</t>
        </is>
      </c>
      <c r="P29" s="3" t="inlineStr">
        <is>
          <t>2026-03</t>
        </is>
      </c>
      <c r="Q29" s="3" t="inlineStr">
        <is>
          <t>2026-04</t>
        </is>
      </c>
      <c r="R29" s="3" t="inlineStr">
        <is>
          <t>2026-05</t>
        </is>
      </c>
      <c r="S29" s="3" t="inlineStr">
        <is>
          <t>2026-06</t>
        </is>
      </c>
      <c r="T29" s="3" t="inlineStr">
        <is>
          <t>2026-07</t>
        </is>
      </c>
      <c r="U29" s="3" t="inlineStr">
        <is>
          <t>Өөрчлөлт (2026-06→2026-07)</t>
        </is>
      </c>
      <c r="V29" s="3" t="inlineStr">
        <is>
          <t>Эзлэх (Share)</t>
        </is>
      </c>
    </row>
    <row r="30">
      <c r="A30" s="4" t="inlineStr">
        <is>
          <t>Аж ахуйн нэгж, иргэдийн харилцах</t>
        </is>
      </c>
      <c r="B30" s="16" t="n">
        <v>13150202.5</v>
      </c>
      <c r="C30" s="16" t="n">
        <v>12526979.2</v>
      </c>
      <c r="D30" s="16" t="n">
        <v>12182995.7</v>
      </c>
      <c r="E30" s="16" t="n">
        <v>12183804.8</v>
      </c>
      <c r="F30" s="16" t="n">
        <v>11862276.4</v>
      </c>
      <c r="G30" s="16" t="n">
        <v>12752707.1</v>
      </c>
      <c r="H30" s="16" t="n">
        <v>12285032.5</v>
      </c>
      <c r="I30" s="16" t="n">
        <v>13326207.1</v>
      </c>
      <c r="J30" s="16" t="n">
        <v>13130568.3</v>
      </c>
      <c r="K30" s="16" t="n">
        <v>13346462.5</v>
      </c>
      <c r="L30" s="16" t="n">
        <v>13425797.3</v>
      </c>
      <c r="M30" s="16" t="n">
        <v>13489327.3</v>
      </c>
      <c r="N30" s="16" t="n">
        <v>13507453.4</v>
      </c>
      <c r="O30" s="16" t="n">
        <v>14269744.2</v>
      </c>
      <c r="P30" s="16" t="n">
        <v>14780195.6</v>
      </c>
      <c r="Q30" s="16" t="n">
        <v>15942892.3</v>
      </c>
      <c r="R30" s="16" t="n">
        <v>16502834.41</v>
      </c>
      <c r="S30" s="16" t="n">
        <v>17979270.99</v>
      </c>
      <c r="T30" s="16" t="n">
        <v>17411336</v>
      </c>
      <c r="U30" s="32">
        <f>T30-S30</f>
        <v/>
      </c>
      <c r="V30" s="14">
        <f>IFERROR(T30/T$64,"")</f>
        <v/>
      </c>
    </row>
    <row r="31">
      <c r="A31" s="8" t="inlineStr">
        <is>
          <t xml:space="preserve">    Төгрөгийн харилцах</t>
        </is>
      </c>
      <c r="B31" s="15" t="n">
        <v>9610957.41</v>
      </c>
      <c r="C31" s="15" t="n">
        <v>8941977.92</v>
      </c>
      <c r="D31" s="15" t="n">
        <v>8886313.65</v>
      </c>
      <c r="E31" s="15" t="n">
        <v>8628760.17</v>
      </c>
      <c r="F31" s="15" t="n">
        <v>8408479.039999999</v>
      </c>
      <c r="G31" s="15" t="n">
        <v>9305774.17</v>
      </c>
      <c r="H31" s="15" t="n">
        <v>8883870.15</v>
      </c>
      <c r="I31" s="15" t="n">
        <v>8929440.859999999</v>
      </c>
      <c r="J31" s="15" t="n">
        <v>9104660.189999999</v>
      </c>
      <c r="K31" s="15" t="n">
        <v>9544672.75</v>
      </c>
      <c r="L31" s="15" t="n">
        <v>9610032.91</v>
      </c>
      <c r="M31" s="15" t="n">
        <v>9643437.199999999</v>
      </c>
      <c r="N31" s="15" t="n">
        <v>9588710.630000001</v>
      </c>
      <c r="O31" s="15" t="n">
        <v>9214996.26</v>
      </c>
      <c r="P31" s="15" t="n">
        <v>9538602.09</v>
      </c>
      <c r="Q31" s="15" t="n">
        <v>10811125.5</v>
      </c>
      <c r="R31" s="15" t="n">
        <v>11090744.02</v>
      </c>
      <c r="S31" s="15" t="n">
        <v>11950516.4</v>
      </c>
      <c r="T31" s="15" t="n">
        <v>11007116</v>
      </c>
      <c r="U31" s="15">
        <f>T31-S31</f>
        <v/>
      </c>
      <c r="V31" s="14">
        <f>IFERROR(T31/T$64,"")</f>
        <v/>
      </c>
    </row>
    <row r="32">
      <c r="A32" s="5" t="inlineStr">
        <is>
          <t xml:space="preserve">        Улсын байгууллага</t>
        </is>
      </c>
      <c r="B32" s="16" t="n">
        <v>2394583.02</v>
      </c>
      <c r="C32" s="16" t="n">
        <v>1458178.23</v>
      </c>
      <c r="D32" s="16" t="n">
        <v>1661321.8</v>
      </c>
      <c r="E32" s="16" t="n">
        <v>1255228.39</v>
      </c>
      <c r="F32" s="16" t="n">
        <v>1080688.76</v>
      </c>
      <c r="G32" s="16" t="n">
        <v>1038442.33</v>
      </c>
      <c r="H32" s="16" t="n">
        <v>994394.91</v>
      </c>
      <c r="I32" s="16" t="n">
        <v>1153962.83</v>
      </c>
      <c r="J32" s="16" t="n">
        <v>1014711.53</v>
      </c>
      <c r="K32" s="16" t="n">
        <v>1194217.54</v>
      </c>
      <c r="L32" s="16" t="n">
        <v>1573648.96</v>
      </c>
      <c r="M32" s="16" t="n">
        <v>1102172.39</v>
      </c>
      <c r="N32" s="16" t="n">
        <v>1640677.44</v>
      </c>
      <c r="O32" s="16" t="n">
        <v>1446935.24</v>
      </c>
      <c r="P32" s="16" t="n">
        <v>1323890.14</v>
      </c>
      <c r="Q32" s="16" t="n">
        <v>1989398.21</v>
      </c>
      <c r="R32" s="16" t="n">
        <v>1909453.05</v>
      </c>
      <c r="S32" s="16" t="n">
        <v>1934855.61</v>
      </c>
      <c r="T32" s="16" t="n">
        <v>1575441</v>
      </c>
      <c r="U32" s="16">
        <f>T32-S32</f>
        <v/>
      </c>
      <c r="V32" s="14">
        <f>IFERROR(T32/T$64,"")</f>
        <v/>
      </c>
    </row>
    <row r="33">
      <c r="A33" s="8" t="inlineStr">
        <is>
          <t xml:space="preserve">        Хувийн байгууллага</t>
        </is>
      </c>
      <c r="B33" s="15" t="n">
        <v>3637348.06</v>
      </c>
      <c r="C33" s="15" t="n">
        <v>3706645.02</v>
      </c>
      <c r="D33" s="15" t="n">
        <v>3768232.15</v>
      </c>
      <c r="E33" s="15" t="n">
        <v>3543364.01</v>
      </c>
      <c r="F33" s="15" t="n">
        <v>3391993.44</v>
      </c>
      <c r="G33" s="15" t="n">
        <v>4062893.91</v>
      </c>
      <c r="H33" s="15" t="n">
        <v>3632904.51</v>
      </c>
      <c r="I33" s="15" t="n">
        <v>3732414.04</v>
      </c>
      <c r="J33" s="15" t="n">
        <v>3919103.36</v>
      </c>
      <c r="K33" s="15" t="n">
        <v>4173581.29</v>
      </c>
      <c r="L33" s="15" t="n">
        <v>4169000.61</v>
      </c>
      <c r="M33" s="15" t="n">
        <v>4447184.35</v>
      </c>
      <c r="N33" s="15" t="n">
        <v>4161537</v>
      </c>
      <c r="O33" s="15" t="n">
        <v>4085926.44</v>
      </c>
      <c r="P33" s="15" t="n">
        <v>4451591</v>
      </c>
      <c r="Q33" s="15" t="n">
        <v>4432960.58</v>
      </c>
      <c r="R33" s="15" t="n">
        <v>4702978.43</v>
      </c>
      <c r="S33" s="15" t="n">
        <v>5126683.27</v>
      </c>
      <c r="T33" s="15" t="n">
        <v>4673399</v>
      </c>
      <c r="U33" s="15">
        <f>T33-S33</f>
        <v/>
      </c>
      <c r="V33" s="14">
        <f>IFERROR(T33/T$64,"")</f>
        <v/>
      </c>
    </row>
    <row r="34">
      <c r="A34" s="5" t="inlineStr">
        <is>
          <t xml:space="preserve">        Иргэд</t>
        </is>
      </c>
      <c r="B34" s="16" t="n">
        <v>3414214.35</v>
      </c>
      <c r="C34" s="16" t="n">
        <v>3616125.73</v>
      </c>
      <c r="D34" s="16" t="n">
        <v>3267647.63</v>
      </c>
      <c r="E34" s="16" t="n">
        <v>3632470.61</v>
      </c>
      <c r="F34" s="16" t="n">
        <v>3760464.57</v>
      </c>
      <c r="G34" s="16" t="n">
        <v>4017040.8</v>
      </c>
      <c r="H34" s="16" t="n">
        <v>4077990.3</v>
      </c>
      <c r="I34" s="16" t="n">
        <v>3844764.31</v>
      </c>
      <c r="J34" s="16" t="n">
        <v>3980571.71</v>
      </c>
      <c r="K34" s="16" t="n">
        <v>3991996.6</v>
      </c>
      <c r="L34" s="16" t="n">
        <v>3691658.87</v>
      </c>
      <c r="M34" s="16" t="n">
        <v>3914085.22</v>
      </c>
      <c r="N34" s="16" t="n">
        <v>3616843.45</v>
      </c>
      <c r="O34" s="16" t="n">
        <v>3490505.1</v>
      </c>
      <c r="P34" s="16" t="n">
        <v>3566286</v>
      </c>
      <c r="Q34" s="16" t="n">
        <v>4174335.93</v>
      </c>
      <c r="R34" s="16" t="n">
        <v>4253190.1</v>
      </c>
      <c r="S34" s="16" t="n">
        <v>4666194.8</v>
      </c>
      <c r="T34" s="16" t="n">
        <v>4552967</v>
      </c>
      <c r="U34" s="16">
        <f>T34-S34</f>
        <v/>
      </c>
      <c r="V34" s="14">
        <f>IFERROR(T34/T$64,"")</f>
        <v/>
      </c>
    </row>
    <row r="35">
      <c r="A35" s="8" t="inlineStr">
        <is>
          <t xml:space="preserve">        Бусад байгууллага</t>
        </is>
      </c>
      <c r="B35" s="15" t="n">
        <v>164811.98</v>
      </c>
      <c r="C35" s="15" t="n">
        <v>161028.93</v>
      </c>
      <c r="D35" s="15" t="n">
        <v>189112.07</v>
      </c>
      <c r="E35" s="15" t="n">
        <v>197697.17</v>
      </c>
      <c r="F35" s="15" t="n">
        <v>175332.28</v>
      </c>
      <c r="G35" s="15" t="n">
        <v>187397.13</v>
      </c>
      <c r="H35" s="15" t="n">
        <v>178580.43</v>
      </c>
      <c r="I35" s="15" t="n">
        <v>198299.69</v>
      </c>
      <c r="J35" s="15" t="n">
        <v>190273.59</v>
      </c>
      <c r="K35" s="15" t="n">
        <v>184877.32</v>
      </c>
      <c r="L35" s="15" t="n">
        <v>175724.47</v>
      </c>
      <c r="M35" s="15" t="n">
        <v>179995.24</v>
      </c>
      <c r="N35" s="15" t="n">
        <v>169652.73</v>
      </c>
      <c r="O35" s="15" t="n">
        <v>191629.47</v>
      </c>
      <c r="P35" s="15" t="n">
        <v>196834.96</v>
      </c>
      <c r="Q35" s="15" t="n">
        <v>214430.82</v>
      </c>
      <c r="R35" s="15" t="n">
        <v>225122.45</v>
      </c>
      <c r="S35" s="15" t="n">
        <v>222782.72</v>
      </c>
      <c r="T35" s="15" t="n">
        <v>205308.9</v>
      </c>
      <c r="U35" s="15">
        <f>T35-S35</f>
        <v/>
      </c>
      <c r="V35" s="14">
        <f>IFERROR(T35/T$64,"")</f>
        <v/>
      </c>
    </row>
    <row r="36">
      <c r="A36" s="5" t="inlineStr">
        <is>
          <t xml:space="preserve">    Гадаад валютын харилцах</t>
        </is>
      </c>
      <c r="B36" s="16" t="n">
        <v>3539245.11</v>
      </c>
      <c r="C36" s="16" t="n">
        <v>3585001.32</v>
      </c>
      <c r="D36" s="16" t="n">
        <v>3296682.02</v>
      </c>
      <c r="E36" s="16" t="n">
        <v>3555044.63</v>
      </c>
      <c r="F36" s="16" t="n">
        <v>3453797.41</v>
      </c>
      <c r="G36" s="16" t="n">
        <v>3446932.92</v>
      </c>
      <c r="H36" s="16" t="n">
        <v>3401162.32</v>
      </c>
      <c r="I36" s="16" t="n">
        <v>4396766.19</v>
      </c>
      <c r="J36" s="16" t="n">
        <v>4025908.08</v>
      </c>
      <c r="K36" s="16" t="n">
        <v>3801789.8</v>
      </c>
      <c r="L36" s="16" t="n">
        <v>3815764.44</v>
      </c>
      <c r="M36" s="16" t="n">
        <v>3845890.11</v>
      </c>
      <c r="N36" s="16" t="n">
        <v>3918742.74</v>
      </c>
      <c r="O36" s="16" t="n">
        <v>5054747.91</v>
      </c>
      <c r="P36" s="16" t="n">
        <v>5241593.48</v>
      </c>
      <c r="Q36" s="16" t="n">
        <v>5131766.76</v>
      </c>
      <c r="R36" s="16" t="n">
        <v>5412090.39</v>
      </c>
      <c r="S36" s="16" t="n">
        <v>6028754.59</v>
      </c>
      <c r="T36" s="16" t="n">
        <v>6404220</v>
      </c>
      <c r="U36" s="16">
        <f>T36-S36</f>
        <v/>
      </c>
      <c r="V36" s="14">
        <f>IFERROR(T36/T$64,"")</f>
        <v/>
      </c>
    </row>
    <row r="37">
      <c r="A37" s="8" t="inlineStr">
        <is>
          <t xml:space="preserve">        Улсын байгууллага</t>
        </is>
      </c>
      <c r="B37" s="15" t="n">
        <v>488278.01</v>
      </c>
      <c r="C37" s="15" t="n">
        <v>701318.45</v>
      </c>
      <c r="D37" s="15" t="n">
        <v>468943.32</v>
      </c>
      <c r="E37" s="15" t="n">
        <v>517242.19</v>
      </c>
      <c r="F37" s="15" t="n">
        <v>366296.97</v>
      </c>
      <c r="G37" s="15" t="n">
        <v>357136.95</v>
      </c>
      <c r="H37" s="15" t="n">
        <v>389598.76</v>
      </c>
      <c r="I37" s="15" t="n">
        <v>413972.71</v>
      </c>
      <c r="J37" s="15" t="n">
        <v>547029.83</v>
      </c>
      <c r="K37" s="15" t="n">
        <v>443306.94</v>
      </c>
      <c r="L37" s="15" t="n">
        <v>536620.0600000001</v>
      </c>
      <c r="M37" s="15" t="n">
        <v>593736.37</v>
      </c>
      <c r="N37" s="15" t="n">
        <v>645669.89</v>
      </c>
      <c r="O37" s="15" t="n">
        <v>1005683.96</v>
      </c>
      <c r="P37" s="15" t="n">
        <v>1583649.62</v>
      </c>
      <c r="Q37" s="15" t="n">
        <v>1335674.23</v>
      </c>
      <c r="R37" s="15" t="n">
        <v>1783152.08</v>
      </c>
      <c r="S37" s="15" t="n">
        <v>2282165.08</v>
      </c>
      <c r="T37" s="15" t="n">
        <v>2788586</v>
      </c>
      <c r="U37" s="15">
        <f>T37-S37</f>
        <v/>
      </c>
      <c r="V37" s="14">
        <f>IFERROR(T37/T$64,"")</f>
        <v/>
      </c>
    </row>
    <row r="38">
      <c r="A38" s="5" t="inlineStr">
        <is>
          <t xml:space="preserve">        Хувийн байгууллага</t>
        </is>
      </c>
      <c r="B38" s="16" t="n">
        <v>2415739.61</v>
      </c>
      <c r="C38" s="16" t="n">
        <v>2321438.84</v>
      </c>
      <c r="D38" s="16" t="n">
        <v>2255461.33</v>
      </c>
      <c r="E38" s="16" t="n">
        <v>2409477.95</v>
      </c>
      <c r="F38" s="16" t="n">
        <v>2460393.84</v>
      </c>
      <c r="G38" s="16" t="n">
        <v>2477838.87</v>
      </c>
      <c r="H38" s="16" t="n">
        <v>2379010.79</v>
      </c>
      <c r="I38" s="16" t="n">
        <v>3362543.52</v>
      </c>
      <c r="J38" s="16" t="n">
        <v>2820946.78</v>
      </c>
      <c r="K38" s="16" t="n">
        <v>2743361.09</v>
      </c>
      <c r="L38" s="16" t="n">
        <v>2699642.52</v>
      </c>
      <c r="M38" s="16" t="n">
        <v>2692384.39</v>
      </c>
      <c r="N38" s="16" t="n">
        <v>2725191.96</v>
      </c>
      <c r="O38" s="16" t="n">
        <v>3498068.93</v>
      </c>
      <c r="P38" s="16" t="n">
        <v>3095521.66</v>
      </c>
      <c r="Q38" s="16" t="n">
        <v>3233269.64</v>
      </c>
      <c r="R38" s="16" t="n">
        <v>3066659.37</v>
      </c>
      <c r="S38" s="16" t="n">
        <v>3161963.9</v>
      </c>
      <c r="T38" s="16" t="n">
        <v>2992669</v>
      </c>
      <c r="U38" s="16">
        <f>T38-S38</f>
        <v/>
      </c>
      <c r="V38" s="14">
        <f>IFERROR(T38/T$64,"")</f>
        <v/>
      </c>
    </row>
    <row r="39">
      <c r="A39" s="8" t="inlineStr">
        <is>
          <t xml:space="preserve">        Иргэд</t>
        </is>
      </c>
      <c r="B39" s="15" t="n">
        <v>580477.04</v>
      </c>
      <c r="C39" s="15" t="n">
        <v>506309.6</v>
      </c>
      <c r="D39" s="15" t="n">
        <v>515740.42</v>
      </c>
      <c r="E39" s="15" t="n">
        <v>552304.17</v>
      </c>
      <c r="F39" s="15" t="n">
        <v>558724.39</v>
      </c>
      <c r="G39" s="15" t="n">
        <v>546411.25</v>
      </c>
      <c r="H39" s="15" t="n">
        <v>567802.79</v>
      </c>
      <c r="I39" s="15" t="n">
        <v>555747.9399999999</v>
      </c>
      <c r="J39" s="15" t="n">
        <v>576992.85</v>
      </c>
      <c r="K39" s="15" t="n">
        <v>546096.2</v>
      </c>
      <c r="L39" s="15" t="n">
        <v>511962.4</v>
      </c>
      <c r="M39" s="15" t="n">
        <v>502331.43</v>
      </c>
      <c r="N39" s="15" t="n">
        <v>487410.88</v>
      </c>
      <c r="O39" s="15" t="n">
        <v>488599.78</v>
      </c>
      <c r="P39" s="15" t="n">
        <v>489366.56</v>
      </c>
      <c r="Q39" s="15" t="n">
        <v>487091.72</v>
      </c>
      <c r="R39" s="15" t="n">
        <v>489233.06</v>
      </c>
      <c r="S39" s="15" t="n">
        <v>514731.04</v>
      </c>
      <c r="T39" s="15" t="n">
        <v>553111.4</v>
      </c>
      <c r="U39" s="15">
        <f>T39-S39</f>
        <v/>
      </c>
      <c r="V39" s="14">
        <f>IFERROR(T39/T$64,"")</f>
        <v/>
      </c>
    </row>
    <row r="40">
      <c r="A40" s="5" t="inlineStr">
        <is>
          <t xml:space="preserve">        Бусад байгууллага</t>
        </is>
      </c>
      <c r="B40" s="16" t="n">
        <v>54750.45</v>
      </c>
      <c r="C40" s="16" t="n">
        <v>55934.43</v>
      </c>
      <c r="D40" s="16" t="n">
        <v>56536.95</v>
      </c>
      <c r="E40" s="16" t="n">
        <v>76020.32000000001</v>
      </c>
      <c r="F40" s="16" t="n">
        <v>68382.21000000001</v>
      </c>
      <c r="G40" s="16" t="n">
        <v>65545.85000000001</v>
      </c>
      <c r="H40" s="16" t="n">
        <v>64749.98</v>
      </c>
      <c r="I40" s="16" t="n">
        <v>64502.01</v>
      </c>
      <c r="J40" s="16" t="n">
        <v>80938.62</v>
      </c>
      <c r="K40" s="16" t="n">
        <v>69025.56</v>
      </c>
      <c r="L40" s="16" t="n">
        <v>67539.46000000001</v>
      </c>
      <c r="M40" s="16" t="n">
        <v>57437.92</v>
      </c>
      <c r="N40" s="16" t="n">
        <v>60470</v>
      </c>
      <c r="O40" s="16" t="n">
        <v>62395.24</v>
      </c>
      <c r="P40" s="16" t="n">
        <v>73055.64</v>
      </c>
      <c r="Q40" s="16" t="n">
        <v>75731.17</v>
      </c>
      <c r="R40" s="16" t="n">
        <v>73045.88</v>
      </c>
      <c r="S40" s="16" t="n">
        <v>69894.57000000001</v>
      </c>
      <c r="T40" s="16" t="n">
        <v>69853.44</v>
      </c>
      <c r="U40" s="16">
        <f>T40-S40</f>
        <v/>
      </c>
      <c r="V40" s="14">
        <f>IFERROR(T40/T$64,"")</f>
        <v/>
      </c>
    </row>
    <row r="41">
      <c r="A41" s="7" t="inlineStr">
        <is>
          <t>Аж ахуйн нэгж, иргэдийн хадгаламж</t>
        </is>
      </c>
      <c r="B41" s="15" t="n">
        <v>25401796.6</v>
      </c>
      <c r="C41" s="15" t="n">
        <v>25923542.1</v>
      </c>
      <c r="D41" s="15" t="n">
        <v>26059834.3</v>
      </c>
      <c r="E41" s="15" t="n">
        <v>26134860.5</v>
      </c>
      <c r="F41" s="15" t="n">
        <v>26478852.9</v>
      </c>
      <c r="G41" s="15" t="n">
        <v>26916226.8</v>
      </c>
      <c r="H41" s="15" t="n">
        <v>27426107.5</v>
      </c>
      <c r="I41" s="15" t="n">
        <v>27423715.9</v>
      </c>
      <c r="J41" s="15" t="n">
        <v>27635390.3</v>
      </c>
      <c r="K41" s="15" t="n">
        <v>28308654.6</v>
      </c>
      <c r="L41" s="15" t="n">
        <v>28514308.5</v>
      </c>
      <c r="M41" s="15" t="n">
        <v>29484118.2</v>
      </c>
      <c r="N41" s="15" t="n">
        <v>29439823.9</v>
      </c>
      <c r="O41" s="15" t="n">
        <v>30087904.8</v>
      </c>
      <c r="P41" s="15" t="n">
        <v>30426832.4</v>
      </c>
      <c r="Q41" s="15" t="n">
        <v>30719194.7</v>
      </c>
      <c r="R41" s="15" t="n">
        <v>31330147.88</v>
      </c>
      <c r="S41" s="15" t="n">
        <v>31457996.98</v>
      </c>
      <c r="T41" s="15" t="n">
        <v>32121532</v>
      </c>
      <c r="U41" s="33">
        <f>T41-S41</f>
        <v/>
      </c>
      <c r="V41" s="14">
        <f>IFERROR(T41/T$64,"")</f>
        <v/>
      </c>
    </row>
    <row r="42">
      <c r="A42" s="5" t="inlineStr">
        <is>
          <t xml:space="preserve">    Хугацаагүй хадгаламж</t>
        </is>
      </c>
      <c r="B42" s="16" t="n">
        <v>3709446.83</v>
      </c>
      <c r="C42" s="16" t="n">
        <v>3799823.76</v>
      </c>
      <c r="D42" s="16" t="n">
        <v>3792779.9</v>
      </c>
      <c r="E42" s="16" t="n">
        <v>3862607.71</v>
      </c>
      <c r="F42" s="16" t="n">
        <v>3958285.87</v>
      </c>
      <c r="G42" s="16" t="n">
        <v>4194107.24</v>
      </c>
      <c r="H42" s="16" t="n">
        <v>4300577.51</v>
      </c>
      <c r="I42" s="16" t="n">
        <v>4257122.2</v>
      </c>
      <c r="J42" s="16" t="n">
        <v>4196701.81</v>
      </c>
      <c r="K42" s="16" t="n">
        <v>4211818.78</v>
      </c>
      <c r="L42" s="16" t="n">
        <v>4193341.84</v>
      </c>
      <c r="M42" s="16" t="n">
        <v>4471077.08</v>
      </c>
      <c r="N42" s="16" t="n">
        <v>4206223.9</v>
      </c>
      <c r="O42" s="16" t="n">
        <v>4318214.07</v>
      </c>
      <c r="P42" s="16" t="n">
        <v>4195433.5</v>
      </c>
      <c r="Q42" s="16" t="n">
        <v>4452155.03</v>
      </c>
      <c r="R42" s="16" t="n">
        <v>4649272.97</v>
      </c>
      <c r="S42" s="16" t="n">
        <v>4886788.92</v>
      </c>
      <c r="T42" s="16" t="n">
        <v>5043575</v>
      </c>
      <c r="U42" s="16">
        <f>T42-S42</f>
        <v/>
      </c>
      <c r="V42" s="14">
        <f>IFERROR(T42/T$64,"")</f>
        <v/>
      </c>
    </row>
    <row r="43">
      <c r="A43" s="8" t="inlineStr">
        <is>
          <t xml:space="preserve">        Төгрөгийн хадгаламж</t>
        </is>
      </c>
      <c r="B43" s="15" t="n">
        <v>3166538.13</v>
      </c>
      <c r="C43" s="15" t="n">
        <v>3256886.99</v>
      </c>
      <c r="D43" s="15" t="n">
        <v>3232596.24</v>
      </c>
      <c r="E43" s="15" t="n">
        <v>3239854.64</v>
      </c>
      <c r="F43" s="15" t="n">
        <v>3346780.07</v>
      </c>
      <c r="G43" s="15" t="n">
        <v>3538870.91</v>
      </c>
      <c r="H43" s="15" t="n">
        <v>3652381.98</v>
      </c>
      <c r="I43" s="15" t="n">
        <v>3607112.75</v>
      </c>
      <c r="J43" s="15" t="n">
        <v>3575651.2</v>
      </c>
      <c r="K43" s="15" t="n">
        <v>3641446.24</v>
      </c>
      <c r="L43" s="15" t="n">
        <v>3635507.08</v>
      </c>
      <c r="M43" s="15" t="n">
        <v>3912747.52</v>
      </c>
      <c r="N43" s="15" t="n">
        <v>3667744.62</v>
      </c>
      <c r="O43" s="15" t="n">
        <v>3783962.24</v>
      </c>
      <c r="P43" s="15" t="n">
        <v>3661555.73</v>
      </c>
      <c r="Q43" s="15" t="n">
        <v>3872271.23</v>
      </c>
      <c r="R43" s="15" t="n">
        <v>4108222.59</v>
      </c>
      <c r="S43" s="15" t="n">
        <v>4331185.47</v>
      </c>
      <c r="T43" s="15" t="n">
        <v>4463796</v>
      </c>
      <c r="U43" s="15">
        <f>T43-S43</f>
        <v/>
      </c>
      <c r="V43" s="14">
        <f>IFERROR(T43/T$64,"")</f>
        <v/>
      </c>
    </row>
    <row r="44">
      <c r="A44" s="5" t="inlineStr">
        <is>
          <t xml:space="preserve">            Улсын байгууллага</t>
        </is>
      </c>
      <c r="B44" s="16" t="n">
        <v>0</v>
      </c>
      <c r="C44" s="16" t="n">
        <v>0</v>
      </c>
      <c r="D44" s="16" t="n">
        <v>0</v>
      </c>
      <c r="E44" s="16" t="n">
        <v>0</v>
      </c>
      <c r="F44" s="16" t="n">
        <v>0</v>
      </c>
      <c r="G44" s="16" t="n">
        <v>0</v>
      </c>
      <c r="H44" s="16" t="n">
        <v>0</v>
      </c>
      <c r="I44" s="16" t="n">
        <v>0</v>
      </c>
      <c r="J44" s="16" t="n">
        <v>0</v>
      </c>
      <c r="K44" s="16" t="n">
        <v>0</v>
      </c>
      <c r="L44" s="16" t="n">
        <v>0</v>
      </c>
      <c r="M44" s="16" t="n">
        <v>0</v>
      </c>
      <c r="N44" s="16" t="n">
        <v>0</v>
      </c>
      <c r="O44" s="16" t="n">
        <v>0</v>
      </c>
      <c r="P44" s="16" t="n">
        <v>0</v>
      </c>
      <c r="Q44" s="16" t="n">
        <v>0</v>
      </c>
      <c r="R44" s="16" t="n">
        <v>0</v>
      </c>
      <c r="S44" s="16" t="n">
        <v>0</v>
      </c>
      <c r="T44" s="16" t="n">
        <v>0</v>
      </c>
      <c r="U44" s="16">
        <f>T44-S44</f>
        <v/>
      </c>
      <c r="V44" s="14">
        <f>IFERROR(T44/T$64,"")</f>
        <v/>
      </c>
    </row>
    <row r="45">
      <c r="A45" s="8" t="inlineStr">
        <is>
          <t xml:space="preserve">            Хувийн байгууллага</t>
        </is>
      </c>
      <c r="B45" s="15" t="n">
        <v>0</v>
      </c>
      <c r="C45" s="15" t="n">
        <v>0</v>
      </c>
      <c r="D45" s="15" t="n">
        <v>0</v>
      </c>
      <c r="E45" s="15" t="n">
        <v>0</v>
      </c>
      <c r="F45" s="15" t="n">
        <v>0</v>
      </c>
      <c r="G45" s="15" t="n">
        <v>0</v>
      </c>
      <c r="H45" s="15" t="n">
        <v>0</v>
      </c>
      <c r="I45" s="15" t="n">
        <v>0</v>
      </c>
      <c r="J45" s="15" t="n">
        <v>0</v>
      </c>
      <c r="K45" s="15" t="n">
        <v>0</v>
      </c>
      <c r="L45" s="15" t="n">
        <v>0</v>
      </c>
      <c r="M45" s="15" t="n">
        <v>0</v>
      </c>
      <c r="N45" s="15" t="n">
        <v>0</v>
      </c>
      <c r="O45" s="15" t="n">
        <v>0</v>
      </c>
      <c r="P45" s="15" t="n">
        <v>0</v>
      </c>
      <c r="Q45" s="15" t="n">
        <v>0</v>
      </c>
      <c r="R45" s="15" t="n">
        <v>0</v>
      </c>
      <c r="S45" s="15" t="n">
        <v>0</v>
      </c>
      <c r="T45" s="15" t="n">
        <v>33.1</v>
      </c>
      <c r="U45" s="15">
        <f>T45-S45</f>
        <v/>
      </c>
      <c r="V45" s="14">
        <f>IFERROR(T45/T$64,"")</f>
        <v/>
      </c>
    </row>
    <row r="46">
      <c r="A46" s="5" t="inlineStr">
        <is>
          <t xml:space="preserve">            Иргэд</t>
        </is>
      </c>
      <c r="B46" s="16" t="n">
        <v>3166538.13</v>
      </c>
      <c r="C46" s="16" t="n">
        <v>3256886.99</v>
      </c>
      <c r="D46" s="16" t="n">
        <v>3232596.24</v>
      </c>
      <c r="E46" s="16" t="n">
        <v>3239854.64</v>
      </c>
      <c r="F46" s="16" t="n">
        <v>3346780.07</v>
      </c>
      <c r="G46" s="16" t="n">
        <v>3538870.91</v>
      </c>
      <c r="H46" s="16" t="n">
        <v>3652381.98</v>
      </c>
      <c r="I46" s="16" t="n">
        <v>3607112.75</v>
      </c>
      <c r="J46" s="16" t="n">
        <v>3575651.2</v>
      </c>
      <c r="K46" s="16" t="n">
        <v>3641446.24</v>
      </c>
      <c r="L46" s="16" t="n">
        <v>3635507.08</v>
      </c>
      <c r="M46" s="16" t="n">
        <v>3912747.52</v>
      </c>
      <c r="N46" s="16" t="n">
        <v>3667744.62</v>
      </c>
      <c r="O46" s="16" t="n">
        <v>3783962.24</v>
      </c>
      <c r="P46" s="16" t="n">
        <v>3661555.73</v>
      </c>
      <c r="Q46" s="16" t="n">
        <v>3872271.23</v>
      </c>
      <c r="R46" s="16" t="n">
        <v>4108222.59</v>
      </c>
      <c r="S46" s="16" t="n">
        <v>4331185.47</v>
      </c>
      <c r="T46" s="16" t="n">
        <v>4463763</v>
      </c>
      <c r="U46" s="16">
        <f>T46-S46</f>
        <v/>
      </c>
      <c r="V46" s="14">
        <f>IFERROR(T46/T$64,"")</f>
        <v/>
      </c>
    </row>
    <row r="47">
      <c r="A47" s="8" t="inlineStr">
        <is>
          <t xml:space="preserve">            Бусад байгууллага</t>
        </is>
      </c>
      <c r="B47" s="15" t="n">
        <v>0</v>
      </c>
      <c r="C47" s="15" t="n">
        <v>0</v>
      </c>
      <c r="D47" s="15" t="n">
        <v>0</v>
      </c>
      <c r="E47" s="15" t="n">
        <v>0</v>
      </c>
      <c r="F47" s="15" t="n">
        <v>0</v>
      </c>
      <c r="G47" s="15" t="n">
        <v>0</v>
      </c>
      <c r="H47" s="15" t="n">
        <v>0</v>
      </c>
      <c r="I47" s="15" t="n">
        <v>0</v>
      </c>
      <c r="J47" s="15" t="n">
        <v>0</v>
      </c>
      <c r="K47" s="15" t="n">
        <v>0</v>
      </c>
      <c r="L47" s="15" t="n">
        <v>0</v>
      </c>
      <c r="M47" s="15" t="n">
        <v>0</v>
      </c>
      <c r="N47" s="15" t="n">
        <v>0</v>
      </c>
      <c r="O47" s="15" t="n">
        <v>0</v>
      </c>
      <c r="P47" s="15" t="n">
        <v>0</v>
      </c>
      <c r="Q47" s="15" t="n">
        <v>0</v>
      </c>
      <c r="R47" s="15" t="n">
        <v>0</v>
      </c>
      <c r="S47" s="15" t="n">
        <v>0</v>
      </c>
      <c r="T47" s="15" t="n">
        <v>0</v>
      </c>
      <c r="U47" s="15">
        <f>T47-S47</f>
        <v/>
      </c>
      <c r="V47" s="14">
        <f>IFERROR(T47/T$64,"")</f>
        <v/>
      </c>
    </row>
    <row r="48">
      <c r="A48" s="5" t="inlineStr">
        <is>
          <t xml:space="preserve">        Гадаад валютын хадгаламж</t>
        </is>
      </c>
      <c r="B48" s="16" t="n">
        <v>542908.7</v>
      </c>
      <c r="C48" s="16" t="n">
        <v>542936.77</v>
      </c>
      <c r="D48" s="16" t="n">
        <v>560183.66</v>
      </c>
      <c r="E48" s="16" t="n">
        <v>622753.0699999999</v>
      </c>
      <c r="F48" s="16" t="n">
        <v>611505.8</v>
      </c>
      <c r="G48" s="16" t="n">
        <v>655236.33</v>
      </c>
      <c r="H48" s="16" t="n">
        <v>648195.53</v>
      </c>
      <c r="I48" s="16" t="n">
        <v>650009.46</v>
      </c>
      <c r="J48" s="16" t="n">
        <v>621050.61</v>
      </c>
      <c r="K48" s="16" t="n">
        <v>570372.54</v>
      </c>
      <c r="L48" s="16" t="n">
        <v>557834.75</v>
      </c>
      <c r="M48" s="16" t="n">
        <v>558329.55</v>
      </c>
      <c r="N48" s="16" t="n">
        <v>538479.28</v>
      </c>
      <c r="O48" s="16" t="n">
        <v>534251.83</v>
      </c>
      <c r="P48" s="16" t="n">
        <v>533877.77</v>
      </c>
      <c r="Q48" s="16" t="n">
        <v>579883.8</v>
      </c>
      <c r="R48" s="16" t="n">
        <v>541050.38</v>
      </c>
      <c r="S48" s="16" t="n">
        <v>555603.45</v>
      </c>
      <c r="T48" s="16" t="n">
        <v>579778.8</v>
      </c>
      <c r="U48" s="16">
        <f>T48-S48</f>
        <v/>
      </c>
      <c r="V48" s="14">
        <f>IFERROR(T48/T$64,"")</f>
        <v/>
      </c>
    </row>
    <row r="49">
      <c r="A49" s="8" t="inlineStr">
        <is>
          <t xml:space="preserve">            Улсын байгууллага</t>
        </is>
      </c>
      <c r="B49" s="15" t="n">
        <v>0</v>
      </c>
      <c r="C49" s="15" t="n">
        <v>0</v>
      </c>
      <c r="D49" s="15" t="n">
        <v>0</v>
      </c>
      <c r="E49" s="15" t="n">
        <v>0</v>
      </c>
      <c r="F49" s="15" t="n">
        <v>0</v>
      </c>
      <c r="G49" s="15" t="n">
        <v>0</v>
      </c>
      <c r="H49" s="15" t="n">
        <v>0</v>
      </c>
      <c r="I49" s="15" t="n">
        <v>0</v>
      </c>
      <c r="J49" s="15" t="n">
        <v>0</v>
      </c>
      <c r="K49" s="15" t="n">
        <v>0</v>
      </c>
      <c r="L49" s="15" t="n">
        <v>0</v>
      </c>
      <c r="M49" s="15" t="n">
        <v>0</v>
      </c>
      <c r="N49" s="15" t="n">
        <v>0</v>
      </c>
      <c r="O49" s="15" t="n">
        <v>0</v>
      </c>
      <c r="P49" s="15" t="n">
        <v>0</v>
      </c>
      <c r="Q49" s="15" t="n">
        <v>0</v>
      </c>
      <c r="R49" s="15" t="n">
        <v>0</v>
      </c>
      <c r="S49" s="15" t="n">
        <v>0</v>
      </c>
      <c r="T49" s="15" t="n">
        <v>0</v>
      </c>
      <c r="U49" s="15">
        <f>T49-S49</f>
        <v/>
      </c>
      <c r="V49" s="14">
        <f>IFERROR(T49/T$64,"")</f>
        <v/>
      </c>
    </row>
    <row r="50">
      <c r="A50" s="5" t="inlineStr">
        <is>
          <t xml:space="preserve">            Хувийн байгууллага</t>
        </is>
      </c>
      <c r="B50" s="16" t="n">
        <v>0</v>
      </c>
      <c r="C50" s="16" t="n">
        <v>0</v>
      </c>
      <c r="D50" s="16" t="n">
        <v>0</v>
      </c>
      <c r="E50" s="16" t="n">
        <v>0</v>
      </c>
      <c r="F50" s="16" t="n">
        <v>0</v>
      </c>
      <c r="G50" s="16" t="n">
        <v>0</v>
      </c>
      <c r="H50" s="16" t="n">
        <v>0</v>
      </c>
      <c r="I50" s="16" t="n">
        <v>0</v>
      </c>
      <c r="J50" s="16" t="n">
        <v>0</v>
      </c>
      <c r="K50" s="16" t="n">
        <v>0</v>
      </c>
      <c r="L50" s="16" t="n">
        <v>0</v>
      </c>
      <c r="M50" s="16" t="n">
        <v>0</v>
      </c>
      <c r="N50" s="16" t="n">
        <v>0</v>
      </c>
      <c r="O50" s="16" t="n">
        <v>0</v>
      </c>
      <c r="P50" s="16" t="n">
        <v>0</v>
      </c>
      <c r="Q50" s="16" t="n">
        <v>0</v>
      </c>
      <c r="R50" s="16" t="n">
        <v>0</v>
      </c>
      <c r="S50" s="16" t="n">
        <v>0</v>
      </c>
      <c r="T50" s="16" t="n">
        <v>0</v>
      </c>
      <c r="U50" s="16">
        <f>T50-S50</f>
        <v/>
      </c>
      <c r="V50" s="14">
        <f>IFERROR(T50/T$64,"")</f>
        <v/>
      </c>
    </row>
    <row r="51">
      <c r="A51" s="8" t="inlineStr">
        <is>
          <t xml:space="preserve">            Иргэд</t>
        </is>
      </c>
      <c r="B51" s="15" t="n">
        <v>542908.7</v>
      </c>
      <c r="C51" s="15" t="n">
        <v>542936.77</v>
      </c>
      <c r="D51" s="15" t="n">
        <v>560183.66</v>
      </c>
      <c r="E51" s="15" t="n">
        <v>622753.0699999999</v>
      </c>
      <c r="F51" s="15" t="n">
        <v>611505.8</v>
      </c>
      <c r="G51" s="15" t="n">
        <v>655236.33</v>
      </c>
      <c r="H51" s="15" t="n">
        <v>648195.53</v>
      </c>
      <c r="I51" s="15" t="n">
        <v>650009.46</v>
      </c>
      <c r="J51" s="15" t="n">
        <v>621050.61</v>
      </c>
      <c r="K51" s="15" t="n">
        <v>570372.54</v>
      </c>
      <c r="L51" s="15" t="n">
        <v>557834.75</v>
      </c>
      <c r="M51" s="15" t="n">
        <v>558329.55</v>
      </c>
      <c r="N51" s="15" t="n">
        <v>538479.28</v>
      </c>
      <c r="O51" s="15" t="n">
        <v>534251.83</v>
      </c>
      <c r="P51" s="15" t="n">
        <v>533877.77</v>
      </c>
      <c r="Q51" s="15" t="n">
        <v>579883.8</v>
      </c>
      <c r="R51" s="15" t="n">
        <v>541050.38</v>
      </c>
      <c r="S51" s="15" t="n">
        <v>555603.45</v>
      </c>
      <c r="T51" s="15" t="n">
        <v>579778.8</v>
      </c>
      <c r="U51" s="15">
        <f>T51-S51</f>
        <v/>
      </c>
      <c r="V51" s="14">
        <f>IFERROR(T51/T$64,"")</f>
        <v/>
      </c>
    </row>
    <row r="52">
      <c r="A52" s="5" t="inlineStr">
        <is>
          <t xml:space="preserve">            Бусад байгууллага</t>
        </is>
      </c>
      <c r="B52" s="16" t="n">
        <v>0</v>
      </c>
      <c r="C52" s="16" t="n">
        <v>0</v>
      </c>
      <c r="D52" s="16" t="n">
        <v>0</v>
      </c>
      <c r="E52" s="16" t="n">
        <v>0</v>
      </c>
      <c r="F52" s="16" t="n">
        <v>0</v>
      </c>
      <c r="G52" s="16" t="n">
        <v>0</v>
      </c>
      <c r="H52" s="16" t="n">
        <v>0</v>
      </c>
      <c r="I52" s="16" t="n">
        <v>0</v>
      </c>
      <c r="J52" s="16" t="n">
        <v>0</v>
      </c>
      <c r="K52" s="16" t="n">
        <v>0</v>
      </c>
      <c r="L52" s="16" t="n">
        <v>0</v>
      </c>
      <c r="M52" s="16" t="n">
        <v>0</v>
      </c>
      <c r="N52" s="16" t="n">
        <v>0</v>
      </c>
      <c r="O52" s="16" t="n">
        <v>0</v>
      </c>
      <c r="P52" s="16" t="n">
        <v>0</v>
      </c>
      <c r="Q52" s="16" t="n">
        <v>0</v>
      </c>
      <c r="R52" s="16" t="n">
        <v>0</v>
      </c>
      <c r="S52" s="16" t="n">
        <v>0</v>
      </c>
      <c r="T52" s="16" t="n">
        <v>0</v>
      </c>
      <c r="U52" s="16">
        <f>T52-S52</f>
        <v/>
      </c>
      <c r="V52" s="14">
        <f>IFERROR(T52/T$64,"")</f>
        <v/>
      </c>
    </row>
    <row r="53">
      <c r="A53" s="8" t="inlineStr">
        <is>
          <t xml:space="preserve">    Хугацаатай хадгаламж</t>
        </is>
      </c>
      <c r="B53" s="15" t="n">
        <v>21692349.7</v>
      </c>
      <c r="C53" s="15" t="n">
        <v>22123718.3</v>
      </c>
      <c r="D53" s="15" t="n">
        <v>22267054.4</v>
      </c>
      <c r="E53" s="15" t="n">
        <v>22272252.8</v>
      </c>
      <c r="F53" s="15" t="n">
        <v>22520567.1</v>
      </c>
      <c r="G53" s="15" t="n">
        <v>22722119.6</v>
      </c>
      <c r="H53" s="15" t="n">
        <v>23125530</v>
      </c>
      <c r="I53" s="15" t="n">
        <v>23166593.7</v>
      </c>
      <c r="J53" s="15" t="n">
        <v>23438688.5</v>
      </c>
      <c r="K53" s="15" t="n">
        <v>24096835.8</v>
      </c>
      <c r="L53" s="15" t="n">
        <v>24320966.7</v>
      </c>
      <c r="M53" s="15" t="n">
        <v>25013041.1</v>
      </c>
      <c r="N53" s="15" t="n">
        <v>25233600</v>
      </c>
      <c r="O53" s="15" t="n">
        <v>25769690.7</v>
      </c>
      <c r="P53" s="15" t="n">
        <v>26231398.9</v>
      </c>
      <c r="Q53" s="15" t="n">
        <v>26267039.7</v>
      </c>
      <c r="R53" s="15" t="n">
        <v>26680874.91</v>
      </c>
      <c r="S53" s="15" t="n">
        <v>26571208.05</v>
      </c>
      <c r="T53" s="15" t="n">
        <v>27077957</v>
      </c>
      <c r="U53" s="15">
        <f>T53-S53</f>
        <v/>
      </c>
      <c r="V53" s="14">
        <f>IFERROR(T53/T$64,"")</f>
        <v/>
      </c>
    </row>
    <row r="54">
      <c r="A54" s="5" t="inlineStr">
        <is>
          <t xml:space="preserve">        Төгрөгийн хадгаламж</t>
        </is>
      </c>
      <c r="B54" s="16" t="n">
        <v>17600808.7</v>
      </c>
      <c r="C54" s="16" t="n">
        <v>18067773.2</v>
      </c>
      <c r="D54" s="16" t="n">
        <v>18024440.9</v>
      </c>
      <c r="E54" s="16" t="n">
        <v>17827155</v>
      </c>
      <c r="F54" s="16" t="n">
        <v>18003151.2</v>
      </c>
      <c r="G54" s="16" t="n">
        <v>18158168.2</v>
      </c>
      <c r="H54" s="16" t="n">
        <v>18502078.1</v>
      </c>
      <c r="I54" s="16" t="n">
        <v>18549489</v>
      </c>
      <c r="J54" s="16" t="n">
        <v>18943965.6</v>
      </c>
      <c r="K54" s="16" t="n">
        <v>19343927.6</v>
      </c>
      <c r="L54" s="16" t="n">
        <v>19715665.4</v>
      </c>
      <c r="M54" s="16" t="n">
        <v>20341788.8</v>
      </c>
      <c r="N54" s="16" t="n">
        <v>20515315.7</v>
      </c>
      <c r="O54" s="16" t="n">
        <v>21115397.2</v>
      </c>
      <c r="P54" s="16" t="n">
        <v>21661435.1</v>
      </c>
      <c r="Q54" s="16" t="n">
        <v>21705781.5</v>
      </c>
      <c r="R54" s="16" t="n">
        <v>22128639.73</v>
      </c>
      <c r="S54" s="16" t="n">
        <v>22333021.7</v>
      </c>
      <c r="T54" s="16" t="n">
        <v>22801375</v>
      </c>
      <c r="U54" s="16">
        <f>T54-S54</f>
        <v/>
      </c>
      <c r="V54" s="14">
        <f>IFERROR(T54/T$64,"")</f>
        <v/>
      </c>
    </row>
    <row r="55">
      <c r="A55" s="8" t="inlineStr">
        <is>
          <t xml:space="preserve">            Улсын байгууллага</t>
        </is>
      </c>
      <c r="B55" s="15" t="n">
        <v>406948.05</v>
      </c>
      <c r="C55" s="15" t="n">
        <v>587403.4</v>
      </c>
      <c r="D55" s="15" t="n">
        <v>547046.92</v>
      </c>
      <c r="E55" s="15" t="n">
        <v>609288.7</v>
      </c>
      <c r="F55" s="15" t="n">
        <v>658604.8</v>
      </c>
      <c r="G55" s="15" t="n">
        <v>651341.29</v>
      </c>
      <c r="H55" s="15" t="n">
        <v>653701.61</v>
      </c>
      <c r="I55" s="15" t="n">
        <v>624227.54</v>
      </c>
      <c r="J55" s="15" t="n">
        <v>667659.08</v>
      </c>
      <c r="K55" s="15" t="n">
        <v>633777.26</v>
      </c>
      <c r="L55" s="15" t="n">
        <v>567570.49</v>
      </c>
      <c r="M55" s="15" t="n">
        <v>574003.33</v>
      </c>
      <c r="N55" s="15" t="n">
        <v>548362.65</v>
      </c>
      <c r="O55" s="15" t="n">
        <v>684177.09</v>
      </c>
      <c r="P55" s="15" t="n">
        <v>743496.91</v>
      </c>
      <c r="Q55" s="15" t="n">
        <v>715987.7</v>
      </c>
      <c r="R55" s="15" t="n">
        <v>738306.4300000001</v>
      </c>
      <c r="S55" s="15" t="n">
        <v>741559.0699999999</v>
      </c>
      <c r="T55" s="15" t="n">
        <v>1213613</v>
      </c>
      <c r="U55" s="15">
        <f>T55-S55</f>
        <v/>
      </c>
      <c r="V55" s="14">
        <f>IFERROR(T55/T$64,"")</f>
        <v/>
      </c>
    </row>
    <row r="56">
      <c r="A56" s="5" t="inlineStr">
        <is>
          <t xml:space="preserve">            Хувийн байгууллага</t>
        </is>
      </c>
      <c r="B56" s="16" t="n">
        <v>1579034.52</v>
      </c>
      <c r="C56" s="16" t="n">
        <v>1603364.39</v>
      </c>
      <c r="D56" s="16" t="n">
        <v>1653119.91</v>
      </c>
      <c r="E56" s="16" t="n">
        <v>1385153.07</v>
      </c>
      <c r="F56" s="16" t="n">
        <v>1386474.62</v>
      </c>
      <c r="G56" s="16" t="n">
        <v>1405765.09</v>
      </c>
      <c r="H56" s="16" t="n">
        <v>1544341.42</v>
      </c>
      <c r="I56" s="16" t="n">
        <v>1584172.1</v>
      </c>
      <c r="J56" s="16" t="n">
        <v>1704453.89</v>
      </c>
      <c r="K56" s="16" t="n">
        <v>1825002.62</v>
      </c>
      <c r="L56" s="16" t="n">
        <v>1978966.2</v>
      </c>
      <c r="M56" s="16" t="n">
        <v>2199986.94</v>
      </c>
      <c r="N56" s="16" t="n">
        <v>2156873.59</v>
      </c>
      <c r="O56" s="16" t="n">
        <v>2294861.39</v>
      </c>
      <c r="P56" s="16" t="n">
        <v>2705589.31</v>
      </c>
      <c r="Q56" s="16" t="n">
        <v>2653425.94</v>
      </c>
      <c r="R56" s="16" t="n">
        <v>2814234.13</v>
      </c>
      <c r="S56" s="16" t="n">
        <v>2784215.15</v>
      </c>
      <c r="T56" s="16" t="n">
        <v>2544681</v>
      </c>
      <c r="U56" s="16">
        <f>T56-S56</f>
        <v/>
      </c>
      <c r="V56" s="14">
        <f>IFERROR(T56/T$64,"")</f>
        <v/>
      </c>
    </row>
    <row r="57">
      <c r="A57" s="8" t="inlineStr">
        <is>
          <t xml:space="preserve">            Иргэд</t>
        </is>
      </c>
      <c r="B57" s="15" t="n">
        <v>15518349.6</v>
      </c>
      <c r="C57" s="15" t="n">
        <v>15775607.2</v>
      </c>
      <c r="D57" s="15" t="n">
        <v>15718413.5</v>
      </c>
      <c r="E57" s="15" t="n">
        <v>15729131.4</v>
      </c>
      <c r="F57" s="15" t="n">
        <v>15827072.6</v>
      </c>
      <c r="G57" s="15" t="n">
        <v>15973936.7</v>
      </c>
      <c r="H57" s="15" t="n">
        <v>16175747.1</v>
      </c>
      <c r="I57" s="15" t="n">
        <v>16208316.3</v>
      </c>
      <c r="J57" s="15" t="n">
        <v>16432431.7</v>
      </c>
      <c r="K57" s="15" t="n">
        <v>16748612.6</v>
      </c>
      <c r="L57" s="15" t="n">
        <v>17033438.9</v>
      </c>
      <c r="M57" s="15" t="n">
        <v>17437933</v>
      </c>
      <c r="N57" s="15" t="n">
        <v>17681002.6</v>
      </c>
      <c r="O57" s="15" t="n">
        <v>18016924.6</v>
      </c>
      <c r="P57" s="15" t="n">
        <v>18087926.4</v>
      </c>
      <c r="Q57" s="15" t="n">
        <v>18220371.4</v>
      </c>
      <c r="R57" s="15" t="n">
        <v>18460967.46</v>
      </c>
      <c r="S57" s="15" t="n">
        <v>18691691.97</v>
      </c>
      <c r="T57" s="15" t="n">
        <v>18926890</v>
      </c>
      <c r="U57" s="15">
        <f>T57-S57</f>
        <v/>
      </c>
      <c r="V57" s="14">
        <f>IFERROR(T57/T$64,"")</f>
        <v/>
      </c>
    </row>
    <row r="58">
      <c r="A58" s="5" t="inlineStr">
        <is>
          <t xml:space="preserve">            Бусад байгууллага</t>
        </is>
      </c>
      <c r="B58" s="16" t="n">
        <v>96476.56</v>
      </c>
      <c r="C58" s="16" t="n">
        <v>101398.18</v>
      </c>
      <c r="D58" s="16" t="n">
        <v>105860.58</v>
      </c>
      <c r="E58" s="16" t="n">
        <v>103581.84</v>
      </c>
      <c r="F58" s="16" t="n">
        <v>130999.12</v>
      </c>
      <c r="G58" s="16" t="n">
        <v>127125.14</v>
      </c>
      <c r="H58" s="16" t="n">
        <v>128287.93</v>
      </c>
      <c r="I58" s="16" t="n">
        <v>132773.02</v>
      </c>
      <c r="J58" s="16" t="n">
        <v>139420.91</v>
      </c>
      <c r="K58" s="16" t="n">
        <v>136535.2</v>
      </c>
      <c r="L58" s="16" t="n">
        <v>135689.83</v>
      </c>
      <c r="M58" s="16" t="n">
        <v>129865.56</v>
      </c>
      <c r="N58" s="16" t="n">
        <v>129076.9</v>
      </c>
      <c r="O58" s="16" t="n">
        <v>119434.14</v>
      </c>
      <c r="P58" s="16" t="n">
        <v>124422.48</v>
      </c>
      <c r="Q58" s="16" t="n">
        <v>115996.44</v>
      </c>
      <c r="R58" s="16" t="n">
        <v>115131.72</v>
      </c>
      <c r="S58" s="16" t="n">
        <v>115555.52</v>
      </c>
      <c r="T58" s="16" t="n">
        <v>116191</v>
      </c>
      <c r="U58" s="16">
        <f>T58-S58</f>
        <v/>
      </c>
      <c r="V58" s="14">
        <f>IFERROR(T58/T$64,"")</f>
        <v/>
      </c>
    </row>
    <row r="59">
      <c r="A59" s="8" t="inlineStr">
        <is>
          <t xml:space="preserve">        Гадаад валютын хадгаламж</t>
        </is>
      </c>
      <c r="B59" s="15" t="n">
        <v>4091541.05</v>
      </c>
      <c r="C59" s="15" t="n">
        <v>4055945.13</v>
      </c>
      <c r="D59" s="15" t="n">
        <v>4242613.47</v>
      </c>
      <c r="E59" s="15" t="n">
        <v>4445097.81</v>
      </c>
      <c r="F59" s="15" t="n">
        <v>4517415.9</v>
      </c>
      <c r="G59" s="15" t="n">
        <v>4563951.38</v>
      </c>
      <c r="H59" s="15" t="n">
        <v>4623451.92</v>
      </c>
      <c r="I59" s="15" t="n">
        <v>4617104.74</v>
      </c>
      <c r="J59" s="15" t="n">
        <v>4494722.84</v>
      </c>
      <c r="K59" s="15" t="n">
        <v>4752908.17</v>
      </c>
      <c r="L59" s="15" t="n">
        <v>4605301.22</v>
      </c>
      <c r="M59" s="15" t="n">
        <v>4671252.28</v>
      </c>
      <c r="N59" s="15" t="n">
        <v>4718284.28</v>
      </c>
      <c r="O59" s="15" t="n">
        <v>4654293.52</v>
      </c>
      <c r="P59" s="15" t="n">
        <v>4569963.81</v>
      </c>
      <c r="Q59" s="15" t="n">
        <v>4561258.16</v>
      </c>
      <c r="R59" s="15" t="n">
        <v>4552235.17</v>
      </c>
      <c r="S59" s="15" t="n">
        <v>4238186.35</v>
      </c>
      <c r="T59" s="15" t="n">
        <v>4276582</v>
      </c>
      <c r="U59" s="15">
        <f>T59-S59</f>
        <v/>
      </c>
      <c r="V59" s="14">
        <f>IFERROR(T59/T$64,"")</f>
        <v/>
      </c>
    </row>
    <row r="60">
      <c r="A60" s="5" t="inlineStr">
        <is>
          <t xml:space="preserve">            Улсын байгууллага</t>
        </is>
      </c>
      <c r="B60" s="16" t="n">
        <v>50879.21</v>
      </c>
      <c r="C60" s="16" t="n">
        <v>93098.35000000001</v>
      </c>
      <c r="D60" s="16" t="n">
        <v>75314.50999999999</v>
      </c>
      <c r="E60" s="16" t="n">
        <v>72673.19</v>
      </c>
      <c r="F60" s="16" t="n">
        <v>73193.23</v>
      </c>
      <c r="G60" s="16" t="n">
        <v>79298.8</v>
      </c>
      <c r="H60" s="16" t="n">
        <v>68655.05</v>
      </c>
      <c r="I60" s="16" t="n">
        <v>93848.32000000001</v>
      </c>
      <c r="J60" s="16" t="n">
        <v>76858.74000000001</v>
      </c>
      <c r="K60" s="16" t="n">
        <v>65266.48</v>
      </c>
      <c r="L60" s="16" t="n">
        <v>69111.81</v>
      </c>
      <c r="M60" s="16" t="n">
        <v>6305.05</v>
      </c>
      <c r="N60" s="16" t="n">
        <v>6328.21</v>
      </c>
      <c r="O60" s="16" t="n">
        <v>2447.12</v>
      </c>
      <c r="P60" s="16" t="n">
        <v>4261.93</v>
      </c>
      <c r="Q60" s="16" t="n">
        <v>4272.03</v>
      </c>
      <c r="R60" s="16" t="n">
        <v>3273.46</v>
      </c>
      <c r="S60" s="16" t="n">
        <v>3276.01</v>
      </c>
      <c r="T60" s="16" t="n">
        <v>3322.32</v>
      </c>
      <c r="U60" s="16">
        <f>T60-S60</f>
        <v/>
      </c>
      <c r="V60" s="14">
        <f>IFERROR(T60/T$64,"")</f>
        <v/>
      </c>
    </row>
    <row r="61">
      <c r="A61" s="8" t="inlineStr">
        <is>
          <t xml:space="preserve">            Хувийн байгууллага</t>
        </is>
      </c>
      <c r="B61" s="15" t="n">
        <v>1165698.41</v>
      </c>
      <c r="C61" s="15" t="n">
        <v>1044778.19</v>
      </c>
      <c r="D61" s="15" t="n">
        <v>1190093.93</v>
      </c>
      <c r="E61" s="15" t="n">
        <v>1247575.37</v>
      </c>
      <c r="F61" s="15" t="n">
        <v>1281293.56</v>
      </c>
      <c r="G61" s="15" t="n">
        <v>1281220.99</v>
      </c>
      <c r="H61" s="15" t="n">
        <v>1316826.61</v>
      </c>
      <c r="I61" s="15" t="n">
        <v>1303133.33</v>
      </c>
      <c r="J61" s="15" t="n">
        <v>1184078.28</v>
      </c>
      <c r="K61" s="15" t="n">
        <v>1345400.42</v>
      </c>
      <c r="L61" s="15" t="n">
        <v>1250841.86</v>
      </c>
      <c r="M61" s="15" t="n">
        <v>1370585.91</v>
      </c>
      <c r="N61" s="15" t="n">
        <v>1432489.1</v>
      </c>
      <c r="O61" s="15" t="n">
        <v>1399654.53</v>
      </c>
      <c r="P61" s="15" t="n">
        <v>1324897.46</v>
      </c>
      <c r="Q61" s="15" t="n">
        <v>1309134.42</v>
      </c>
      <c r="R61" s="15" t="n">
        <v>1367507.49</v>
      </c>
      <c r="S61" s="15" t="n">
        <v>1118146.18</v>
      </c>
      <c r="T61" s="15" t="n">
        <v>1208711</v>
      </c>
      <c r="U61" s="15">
        <f>T61-S61</f>
        <v/>
      </c>
      <c r="V61" s="14">
        <f>IFERROR(T61/T$64,"")</f>
        <v/>
      </c>
    </row>
    <row r="62">
      <c r="A62" s="5" t="inlineStr">
        <is>
          <t xml:space="preserve">            Иргэд</t>
        </is>
      </c>
      <c r="B62" s="16" t="n">
        <v>2852819.21</v>
      </c>
      <c r="C62" s="16" t="n">
        <v>2899309.17</v>
      </c>
      <c r="D62" s="16" t="n">
        <v>2955231.85</v>
      </c>
      <c r="E62" s="16" t="n">
        <v>3103347.14</v>
      </c>
      <c r="F62" s="16" t="n">
        <v>3136292.21</v>
      </c>
      <c r="G62" s="16" t="n">
        <v>3177083.3</v>
      </c>
      <c r="H62" s="16" t="n">
        <v>3211608.07</v>
      </c>
      <c r="I62" s="16" t="n">
        <v>3194590.04</v>
      </c>
      <c r="J62" s="16" t="n">
        <v>3208390.74</v>
      </c>
      <c r="K62" s="16" t="n">
        <v>3307040.81</v>
      </c>
      <c r="L62" s="16" t="n">
        <v>3250591.49</v>
      </c>
      <c r="M62" s="16" t="n">
        <v>3261671.36</v>
      </c>
      <c r="N62" s="16" t="n">
        <v>3246499.68</v>
      </c>
      <c r="O62" s="16" t="n">
        <v>3219953.77</v>
      </c>
      <c r="P62" s="16" t="n">
        <v>3210396.72</v>
      </c>
      <c r="Q62" s="16" t="n">
        <v>3217773.88</v>
      </c>
      <c r="R62" s="16" t="n">
        <v>3153560.23</v>
      </c>
      <c r="S62" s="16" t="n">
        <v>3090567.11</v>
      </c>
      <c r="T62" s="16" t="n">
        <v>3036637</v>
      </c>
      <c r="U62" s="16">
        <f>T62-S62</f>
        <v/>
      </c>
      <c r="V62" s="14">
        <f>IFERROR(T62/T$64,"")</f>
        <v/>
      </c>
    </row>
    <row r="63">
      <c r="A63" s="8" t="inlineStr">
        <is>
          <t xml:space="preserve">            Бусад байгууллага</t>
        </is>
      </c>
      <c r="B63" s="15" t="n">
        <v>22144.21</v>
      </c>
      <c r="C63" s="15" t="n">
        <v>18759.42</v>
      </c>
      <c r="D63" s="15" t="n">
        <v>21973.18</v>
      </c>
      <c r="E63" s="15" t="n">
        <v>21502.12</v>
      </c>
      <c r="F63" s="15" t="n">
        <v>26636.89</v>
      </c>
      <c r="G63" s="15" t="n">
        <v>26348.28</v>
      </c>
      <c r="H63" s="15" t="n">
        <v>26362.2</v>
      </c>
      <c r="I63" s="15" t="n">
        <v>25533.05</v>
      </c>
      <c r="J63" s="15" t="n">
        <v>25395.08</v>
      </c>
      <c r="K63" s="15" t="n">
        <v>35200.45</v>
      </c>
      <c r="L63" s="15" t="n">
        <v>34756.06</v>
      </c>
      <c r="M63" s="15" t="n">
        <v>32689.96</v>
      </c>
      <c r="N63" s="15" t="n">
        <v>32967.29</v>
      </c>
      <c r="O63" s="15" t="n">
        <v>32238.1</v>
      </c>
      <c r="P63" s="15" t="n">
        <v>30407.71</v>
      </c>
      <c r="Q63" s="15" t="n">
        <v>30077.83</v>
      </c>
      <c r="R63" s="15" t="n">
        <v>27894</v>
      </c>
      <c r="S63" s="15" t="n">
        <v>26197.04</v>
      </c>
      <c r="T63" s="15" t="n">
        <v>27912.79</v>
      </c>
      <c r="U63" s="15">
        <f>T63-S63</f>
        <v/>
      </c>
      <c r="V63" s="14">
        <f>IFERROR(T63/T$64,"")</f>
        <v/>
      </c>
    </row>
    <row r="64">
      <c r="A64" s="4" t="inlineStr">
        <is>
          <t>Нийт харилцах, хадгаламж (Total deposits)</t>
        </is>
      </c>
      <c r="B64" s="32">
        <f>B30+B41</f>
        <v/>
      </c>
      <c r="C64" s="32">
        <f>C30+C41</f>
        <v/>
      </c>
      <c r="D64" s="32">
        <f>D30+D41</f>
        <v/>
      </c>
      <c r="E64" s="32">
        <f>E30+E41</f>
        <v/>
      </c>
      <c r="F64" s="32">
        <f>F30+F41</f>
        <v/>
      </c>
      <c r="G64" s="32">
        <f>G30+G41</f>
        <v/>
      </c>
      <c r="H64" s="32">
        <f>H30+H41</f>
        <v/>
      </c>
      <c r="I64" s="32">
        <f>I30+I41</f>
        <v/>
      </c>
      <c r="J64" s="32">
        <f>J30+J41</f>
        <v/>
      </c>
      <c r="K64" s="32">
        <f>K30+K41</f>
        <v/>
      </c>
      <c r="L64" s="32">
        <f>L30+L41</f>
        <v/>
      </c>
      <c r="M64" s="32">
        <f>M30+M41</f>
        <v/>
      </c>
      <c r="N64" s="32">
        <f>N30+N41</f>
        <v/>
      </c>
      <c r="O64" s="32">
        <f>O30+O41</f>
        <v/>
      </c>
      <c r="P64" s="32">
        <f>P30+P41</f>
        <v/>
      </c>
      <c r="Q64" s="32">
        <f>Q30+Q41</f>
        <v/>
      </c>
      <c r="R64" s="32">
        <f>R30+R41</f>
        <v/>
      </c>
      <c r="S64" s="32">
        <f>S30+S41</f>
        <v/>
      </c>
      <c r="T64" s="32">
        <f>T30+T41</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1"/>
  <sheetViews>
    <sheetView workbookViewId="0">
      <pane ySplit="3" topLeftCell="A4" activePane="bottomLeft" state="frozen"/>
      <selection pane="bottomLeft" activeCell="A1" sqref="A1"/>
    </sheetView>
  </sheetViews>
  <sheetFormatPr baseColWidth="8" defaultRowHeight="15"/>
  <cols>
    <col width="12" customWidth="1" min="1" max="1"/>
    <col width="17" customWidth="1" min="2" max="2"/>
    <col width="17" customWidth="1" min="3" max="3"/>
    <col width="17" customWidth="1" min="4" max="4"/>
    <col width="17" customWidth="1" min="5" max="5"/>
    <col width="11" customWidth="1" min="6" max="6"/>
    <col width="17" customWidth="1" min="7" max="7"/>
    <col width="22" customWidth="1" min="8" max="8"/>
    <col width="13" customWidth="1" min="9" max="9"/>
  </cols>
  <sheetData>
    <row r="1">
      <c r="A1" s="1" t="inlineStr">
        <is>
          <t>Банкны салбарын зээл, дэлгэрэнгүй (Bank loans in detail)</t>
        </is>
      </c>
    </row>
    <row r="2">
      <c r="A2" s="2" t="inlineStr">
        <is>
          <t>Mongolbank monthly loan report, 2026-07 (million MNT). The report is a flow statement, so the change in the loan book is decomposed rather than estimated. Growth, shares and totals are formulas.</t>
        </is>
      </c>
    </row>
    <row r="4">
      <c r="A4" s="6" t="inlineStr">
        <is>
          <t>МЭДЭЭЛЛИЙН ОН САР / DATA AS OF:  Bank loan report — 2026-07 (CURRENT)      [тайлант үе / reported month: 2026-07]</t>
        </is>
      </c>
    </row>
    <row r="6">
      <c r="A6" s="4" t="inlineStr">
        <is>
          <t>0. ҮЗҮҮЛЭЛТҮҮД (indicators as published on stat.mongolbank.mn — Банкны салбарын зээл)</t>
        </is>
      </c>
    </row>
    <row r="7">
      <c r="A7" s="5" t="inlineStr">
        <is>
          <t>Same figures as the portal's indicator list. Per the report's own Заавар sheet, 'хугацаа хэтэрсэн' is the special-mention class and 'чанаргүй' is substandard + doubtful + loss.</t>
        </is>
      </c>
    </row>
    <row r="8">
      <c r="A8" s="3" t="inlineStr">
        <is>
          <t>Үзүүлэлт (Indicator)</t>
        </is>
      </c>
      <c r="B8" s="3" t="inlineStr">
        <is>
          <t>Нийт (Total)</t>
        </is>
      </c>
      <c r="C8" s="3" t="inlineStr">
        <is>
          <t>Үүнээс: төгрөгийн зээл (of which MNT)</t>
        </is>
      </c>
      <c r="D8" s="3" t="inlineStr">
        <is>
          <t>Валютын хувь (FX share)</t>
        </is>
      </c>
      <c r="E8" s="3" t="inlineStr">
        <is>
          <t>Нийт зээлд эзлэх (Share of book)</t>
        </is>
      </c>
    </row>
    <row r="9">
      <c r="A9" s="4" t="inlineStr">
        <is>
          <t>Зээлийн үлдэгдэл (Loan balance)</t>
        </is>
      </c>
      <c r="B9" s="16" t="n">
        <v>47876124.33761412</v>
      </c>
      <c r="C9" s="16" t="n">
        <v>45062486.46449287</v>
      </c>
      <c r="D9" s="14">
        <f>IFERROR(1-C9/B9,"")</f>
        <v/>
      </c>
      <c r="E9" s="14">
        <f>IFERROR(B9/B$9,"")</f>
        <v/>
      </c>
    </row>
    <row r="10">
      <c r="A10" s="7" t="inlineStr">
        <is>
          <t>Хугацаа хэтэрсэн зээлийн үлдэгдэл (Past due)</t>
        </is>
      </c>
      <c r="B10" s="15" t="n">
        <v>1236542.73795801</v>
      </c>
      <c r="C10" s="15" t="n">
        <v>1143146.250848888</v>
      </c>
      <c r="D10" s="13">
        <f>IFERROR(1-C10/B10,"")</f>
        <v/>
      </c>
      <c r="E10" s="13">
        <f>IFERROR(B10/B$9,"")</f>
        <v/>
      </c>
    </row>
    <row r="11">
      <c r="A11" s="4" t="inlineStr">
        <is>
          <t>Чанаргүй зээлийн үлдэгдэл (Non-performing)</t>
        </is>
      </c>
      <c r="B11" s="16" t="n">
        <v>2510344.428467529</v>
      </c>
      <c r="C11" s="16" t="n">
        <v>2297151.825972417</v>
      </c>
      <c r="D11" s="14">
        <f>IFERROR(1-C11/B11,"")</f>
        <v/>
      </c>
      <c r="E11" s="14">
        <f>IFERROR(B11/B$9,"")</f>
        <v/>
      </c>
    </row>
    <row r="12">
      <c r="A12" s="7" t="inlineStr">
        <is>
          <t>Төслөөр хэрэгжсэн зээлийн үлдэгдэл (Project loans)</t>
        </is>
      </c>
      <c r="B12" s="15" t="n">
        <v>3053100.353432858</v>
      </c>
      <c r="C12" s="15" t="n">
        <v>2968492.107937211</v>
      </c>
      <c r="D12" s="13">
        <f>IFERROR(1-C12/B12,"")</f>
        <v/>
      </c>
      <c r="E12" s="13">
        <f>IFERROR(B12/B$9,"")</f>
        <v/>
      </c>
    </row>
    <row r="14">
      <c r="A14" s="4" t="inlineStr">
        <is>
          <t>1. ЗЭЭЛИЙН ӨСӨЛТИЙН ЗАДАРГАА (how the loan book grew)</t>
        </is>
      </c>
    </row>
    <row r="15">
      <c r="A15" s="3" t="inlineStr">
        <is>
          <t>Үзүүлэлт (Flow)</t>
        </is>
      </c>
      <c r="B15" s="3" t="inlineStr">
        <is>
          <t>Дүн (mln MNT)</t>
        </is>
      </c>
    </row>
    <row r="16">
      <c r="A16" s="5" t="inlineStr">
        <is>
          <t>Эхний үлдэгдэл (Opening balance)</t>
        </is>
      </c>
      <c r="B16" s="16" t="n">
        <v>48957222.19244188</v>
      </c>
    </row>
    <row r="17">
      <c r="A17" s="8" t="inlineStr">
        <is>
          <t>+ Олгосон зээл (Loans disbursed)</t>
        </is>
      </c>
      <c r="B17" s="15" t="n">
        <v>5840363.749383939</v>
      </c>
    </row>
    <row r="18">
      <c r="A18" s="5" t="inlineStr">
        <is>
          <t>− Төлөгдсөн зээл (Loans repaid)</t>
        </is>
      </c>
      <c r="B18" s="16" t="n">
        <v>-6188131.501797864</v>
      </c>
    </row>
    <row r="19">
      <c r="A19" s="8" t="inlineStr">
        <is>
          <t>− Сангаас хаагдсан (Written off)</t>
        </is>
      </c>
      <c r="B19" s="15" t="n">
        <v>0</v>
      </c>
    </row>
    <row r="20">
      <c r="A20" s="5" t="inlineStr">
        <is>
          <t>± Ханшийн тэгшитгэл (FX revaluation)</t>
        </is>
      </c>
      <c r="B20" s="16" t="n">
        <v>12789.25</v>
      </c>
    </row>
    <row r="21">
      <c r="A21" s="8" t="inlineStr">
        <is>
          <t>± Бусад гүйлгээ (Other movements)</t>
        </is>
      </c>
      <c r="B21" s="15" t="n">
        <v>-746119.35</v>
      </c>
    </row>
    <row r="22">
      <c r="A22" s="4" t="inlineStr">
        <is>
          <t>Эцсийн үлдэгдэл (Closing balance, computed)</t>
        </is>
      </c>
      <c r="B22" s="32">
        <f>SUM(B16:B21)</f>
        <v/>
      </c>
    </row>
    <row r="23">
      <c r="A23" s="5" t="inlineStr">
        <is>
          <t>Тайлант эцсийн үлдэгдэл (Closing, as reported)</t>
        </is>
      </c>
      <c r="B23" s="16" t="n">
        <v>47876124.33761412</v>
      </c>
    </row>
    <row r="24">
      <c r="A24" s="5" t="inlineStr">
        <is>
          <t>Зөрүү (Residual — must be 0)</t>
        </is>
      </c>
      <c r="B24" s="16">
        <f>B22-B23</f>
        <v/>
      </c>
    </row>
    <row r="25">
      <c r="A25" s="4" t="inlineStr">
        <is>
          <t>Өөрчлөлт (Net change)</t>
        </is>
      </c>
      <c r="B25" s="32">
        <f>B23-B16</f>
        <v/>
      </c>
    </row>
    <row r="26">
      <c r="A26" s="4" t="inlineStr">
        <is>
          <t>Өсөлт, сараар (Growth, month on month)</t>
        </is>
      </c>
      <c r="B26" s="29">
        <f>IFERROR(B23/B16-1,"")</f>
        <v/>
      </c>
    </row>
    <row r="27">
      <c r="A27" s="4" t="inlineStr">
        <is>
          <t>Өсөлт, жилээр (Growth YoY vs 2025-07)</t>
        </is>
      </c>
      <c r="B27" s="29" t="n">
        <v>0.1302</v>
      </c>
    </row>
    <row r="29">
      <c r="A29" s="4" t="inlineStr">
        <is>
          <t>2. САЛБАРААР (by economic sector — what drove it)</t>
        </is>
      </c>
    </row>
    <row r="30">
      <c r="A30" s="5" t="inlineStr">
        <is>
          <t>Ranked by contribution to the month's growth. The pp column sums to the total growth rate above.</t>
        </is>
      </c>
    </row>
    <row r="31">
      <c r="A31" s="3" t="inlineStr">
        <is>
          <t>Код</t>
        </is>
      </c>
      <c r="B31" s="3" t="inlineStr">
        <is>
          <t>Салбар (Sector)</t>
        </is>
      </c>
      <c r="C31" s="3" t="inlineStr">
        <is>
          <t>Эхний үлдэгдэл (Opening)</t>
        </is>
      </c>
      <c r="D31" s="3" t="inlineStr">
        <is>
          <t>Эцсийн үлдэгдэл (Closing)</t>
        </is>
      </c>
      <c r="E31" s="3" t="inlineStr">
        <is>
          <t>Өөрчлөлт (Change)</t>
        </is>
      </c>
      <c r="F31" s="3" t="inlineStr">
        <is>
          <t>Хувь нэмэр (pp)</t>
        </is>
      </c>
      <c r="G31" s="3" t="inlineStr">
        <is>
          <t>Эзлэх (Share)</t>
        </is>
      </c>
      <c r="H31" s="3" t="inlineStr">
        <is>
          <t>Үүнээс: төгрөгийн (of which MNT)</t>
        </is>
      </c>
      <c r="I31" s="3" t="inlineStr">
        <is>
          <t>Жилийн өсөлт (YoY)</t>
        </is>
      </c>
    </row>
    <row r="32">
      <c r="A32" s="5" t="inlineStr">
        <is>
          <t>H</t>
        </is>
      </c>
      <c r="B32" s="5" t="inlineStr">
        <is>
          <t>ТЭЭВЭР, АГУУЛАХЫН ҮЙЛ АЖИЛЛАГАА</t>
        </is>
      </c>
      <c r="C32" s="16" t="n">
        <v>1489751.287268504</v>
      </c>
      <c r="D32" s="16" t="n">
        <v>1556925.529219252</v>
      </c>
      <c r="E32" s="16">
        <f>D32-C32</f>
        <v/>
      </c>
      <c r="F32" s="25">
        <f>IFERROR((D32-C32)/C$54*100,"")</f>
        <v/>
      </c>
      <c r="G32" s="14">
        <f>IFERROR(D32/D$54,"")</f>
        <v/>
      </c>
      <c r="H32" s="16" t="n">
        <v>1026811.79077968</v>
      </c>
      <c r="I32" s="14" t="n">
        <v>0.35</v>
      </c>
    </row>
    <row r="33">
      <c r="A33" s="8" t="inlineStr">
        <is>
          <t>B</t>
        </is>
      </c>
      <c r="B33" s="8" t="inlineStr">
        <is>
          <t>УУЛ УУРХАЙ, ОЛБОРЛОЛТ</t>
        </is>
      </c>
      <c r="C33" s="15" t="n">
        <v>2684186.769510207</v>
      </c>
      <c r="D33" s="15" t="n">
        <v>2731598.184217453</v>
      </c>
      <c r="E33" s="15">
        <f>D33-C33</f>
        <v/>
      </c>
      <c r="F33" s="26">
        <f>IFERROR((D33-C33)/C$54*100,"")</f>
        <v/>
      </c>
      <c r="G33" s="13">
        <f>IFERROR(D33/D$54,"")</f>
        <v/>
      </c>
      <c r="H33" s="15" t="n">
        <v>1725309.45452804</v>
      </c>
      <c r="I33" s="13" t="n">
        <v>0.14</v>
      </c>
    </row>
    <row r="34">
      <c r="A34" s="5" t="inlineStr">
        <is>
          <t>P</t>
        </is>
      </c>
      <c r="B34" s="5" t="inlineStr">
        <is>
          <t>БОЛОВСРОЛ</t>
        </is>
      </c>
      <c r="C34" s="16" t="n">
        <v>485784.9454635599</v>
      </c>
      <c r="D34" s="16" t="n">
        <v>499339.7916921099</v>
      </c>
      <c r="E34" s="16">
        <f>D34-C34</f>
        <v/>
      </c>
      <c r="F34" s="25">
        <f>IFERROR((D34-C34)/C$54*100,"")</f>
        <v/>
      </c>
      <c r="G34" s="14">
        <f>IFERROR(D34/D$54,"")</f>
        <v/>
      </c>
      <c r="H34" s="16" t="n">
        <v>499305.845692107</v>
      </c>
      <c r="I34" s="14" t="n">
        <v>0.206</v>
      </c>
    </row>
    <row r="35">
      <c r="A35" s="8" t="inlineStr">
        <is>
          <t>I</t>
        </is>
      </c>
      <c r="B35" s="8" t="inlineStr">
        <is>
          <t>ЗОЧИД БУУДАЛ, БАЙР, СУУЦ БОЛОН НИЙТИЙН ХООЛНЫ ҮЙЛЧИЛГЭЭ</t>
        </is>
      </c>
      <c r="C35" s="15" t="n">
        <v>929616.1074972441</v>
      </c>
      <c r="D35" s="15" t="n">
        <v>942750.1915826142</v>
      </c>
      <c r="E35" s="15">
        <f>D35-C35</f>
        <v/>
      </c>
      <c r="F35" s="26">
        <f>IFERROR((D35-C35)/C$54*100,"")</f>
        <v/>
      </c>
      <c r="G35" s="13">
        <f>IFERROR(D35/D$54,"")</f>
        <v/>
      </c>
      <c r="H35" s="15" t="n">
        <v>912851.5924575907</v>
      </c>
      <c r="I35" s="13" t="n">
        <v>0.512</v>
      </c>
    </row>
    <row r="36">
      <c r="A36" s="5" t="inlineStr">
        <is>
          <t>N</t>
        </is>
      </c>
      <c r="B36" s="5" t="inlineStr">
        <is>
          <t>УДИРДЛАГЫН БОЛОН ДЭМЖЛЭГ ҮЗҮҮЛЭХ ҮЙЛ АЖИЛЛАГАА</t>
        </is>
      </c>
      <c r="C36" s="16" t="n">
        <v>243510.5726196135</v>
      </c>
      <c r="D36" s="16" t="n">
        <v>251717.2820792821</v>
      </c>
      <c r="E36" s="16">
        <f>D36-C36</f>
        <v/>
      </c>
      <c r="F36" s="25">
        <f>IFERROR((D36-C36)/C$54*100,"")</f>
        <v/>
      </c>
      <c r="G36" s="14">
        <f>IFERROR(D36/D$54,"")</f>
        <v/>
      </c>
      <c r="H36" s="16" t="n">
        <v>235904.783230179</v>
      </c>
      <c r="I36" s="14" t="n">
        <v>0.8220000000000001</v>
      </c>
    </row>
    <row r="37">
      <c r="A37" s="8" t="inlineStr">
        <is>
          <t>T</t>
        </is>
      </c>
      <c r="B37" s="8" t="inlineStr">
        <is>
          <t>ХҮН ХӨЛСЛӨН АЖИЛЛУУЛДАГ ӨРХИЙН ҮЙЛ АЖИЛЛАГАА; ӨРХИЙН ӨӨРИЙН ХЭРЭГЛЭЭНД</t>
        </is>
      </c>
      <c r="C37" s="15" t="n">
        <v>185981.72709604</v>
      </c>
      <c r="D37" s="15" t="n">
        <v>189401.77025188</v>
      </c>
      <c r="E37" s="15">
        <f>D37-C37</f>
        <v/>
      </c>
      <c r="F37" s="26">
        <f>IFERROR((D37-C37)/C$54*100,"")</f>
        <v/>
      </c>
      <c r="G37" s="13">
        <f>IFERROR(D37/D$54,"")</f>
        <v/>
      </c>
      <c r="H37" s="15" t="n">
        <v>188143.894751878</v>
      </c>
      <c r="I37" s="13" t="n">
        <v>0.637</v>
      </c>
    </row>
    <row r="38">
      <c r="A38" s="5" t="inlineStr">
        <is>
          <t>J</t>
        </is>
      </c>
      <c r="B38" s="5" t="inlineStr">
        <is>
          <t>МЭДЭЭЛЭЛ, ХОЛБОО</t>
        </is>
      </c>
      <c r="C38" s="16" t="n">
        <v>128382.21940062</v>
      </c>
      <c r="D38" s="16" t="n">
        <v>131671.20411142</v>
      </c>
      <c r="E38" s="16">
        <f>D38-C38</f>
        <v/>
      </c>
      <c r="F38" s="25">
        <f>IFERROR((D38-C38)/C$54*100,"")</f>
        <v/>
      </c>
      <c r="G38" s="14">
        <f>IFERROR(D38/D$54,"")</f>
        <v/>
      </c>
      <c r="H38" s="16" t="n">
        <v>131666.007111409</v>
      </c>
      <c r="I38" s="14" t="n">
        <v>0.065</v>
      </c>
    </row>
    <row r="39">
      <c r="A39" s="8" t="inlineStr">
        <is>
          <t>R</t>
        </is>
      </c>
      <c r="B39" s="8" t="inlineStr">
        <is>
          <t>УРЛАГ, ҮЗВЭР, ТОГЛООМ НААДАМ</t>
        </is>
      </c>
      <c r="C39" s="15" t="n">
        <v>94451.75735215002</v>
      </c>
      <c r="D39" s="15" t="n">
        <v>97606.08900175996</v>
      </c>
      <c r="E39" s="15">
        <f>D39-C39</f>
        <v/>
      </c>
      <c r="F39" s="26">
        <f>IFERROR((D39-C39)/C$54*100,"")</f>
        <v/>
      </c>
      <c r="G39" s="13">
        <f>IFERROR(D39/D$54,"")</f>
        <v/>
      </c>
      <c r="H39" s="15" t="n">
        <v>97606.08900175798</v>
      </c>
      <c r="I39" s="13" t="n">
        <v>0.597</v>
      </c>
    </row>
    <row r="40">
      <c r="A40" s="5" t="inlineStr">
        <is>
          <t>Q</t>
        </is>
      </c>
      <c r="B40" s="5" t="inlineStr">
        <is>
          <t>ХҮНИЙ ЭРҮҮЛ МЭНД, НИЙГМИЙН ХАЛАМЖИЙН ҮЙЛ АЖИЛЛАГАА</t>
        </is>
      </c>
      <c r="C40" s="16" t="n">
        <v>384882.59935016</v>
      </c>
      <c r="D40" s="16" t="n">
        <v>387430.2448943</v>
      </c>
      <c r="E40" s="16">
        <f>D40-C40</f>
        <v/>
      </c>
      <c r="F40" s="25">
        <f>IFERROR((D40-C40)/C$54*100,"")</f>
        <v/>
      </c>
      <c r="G40" s="14">
        <f>IFERROR(D40/D$54,"")</f>
        <v/>
      </c>
      <c r="H40" s="16" t="n">
        <v>387430.244894297</v>
      </c>
      <c r="I40" s="14" t="n">
        <v>0.209</v>
      </c>
    </row>
    <row r="41">
      <c r="A41" s="8" t="inlineStr">
        <is>
          <t>M</t>
        </is>
      </c>
      <c r="B41" s="8" t="inlineStr">
        <is>
          <t>МЭРГЭЖЛИЙН, ШИНЖЛЭХ УХААН БОЛОН ТЕХНИКИЙН ҮЙЛ АЖИЛЛАГАА</t>
        </is>
      </c>
      <c r="C41" s="15" t="n">
        <v>58871.31651514998</v>
      </c>
      <c r="D41" s="15" t="n">
        <v>58722.83213248998</v>
      </c>
      <c r="E41" s="15">
        <f>D41-C41</f>
        <v/>
      </c>
      <c r="F41" s="26">
        <f>IFERROR((D41-C41)/C$54*100,"")</f>
        <v/>
      </c>
      <c r="G41" s="13">
        <f>IFERROR(D41/D$54,"")</f>
        <v/>
      </c>
      <c r="H41" s="15" t="n">
        <v>51525.09313248899</v>
      </c>
      <c r="I41" s="13" t="n">
        <v>0.387</v>
      </c>
    </row>
    <row r="42">
      <c r="A42" s="5" t="inlineStr">
        <is>
          <t>O</t>
        </is>
      </c>
      <c r="B42" s="5" t="inlineStr">
        <is>
          <t>ТӨРИЙН УДИРДЛАГА, БАТЛАН ХАМГААЛАХ ҮЙЛ АЖИЛЛАГАА, АЛБАН ЖУРМЫН НИЙГМИЙ</t>
        </is>
      </c>
      <c r="C42" s="16" t="n">
        <v>11436.22456042</v>
      </c>
      <c r="D42" s="16" t="n">
        <v>11057.30839324</v>
      </c>
      <c r="E42" s="16">
        <f>D42-C42</f>
        <v/>
      </c>
      <c r="F42" s="25">
        <f>IFERROR((D42-C42)/C$54*100,"")</f>
        <v/>
      </c>
      <c r="G42" s="14">
        <f>IFERROR(D42/D$54,"")</f>
        <v/>
      </c>
      <c r="H42" s="16" t="n">
        <v>11057.308393239</v>
      </c>
      <c r="I42" s="14" t="n">
        <v>0.05400000000000001</v>
      </c>
    </row>
    <row r="43">
      <c r="A43" s="8" t="inlineStr">
        <is>
          <t>U</t>
        </is>
      </c>
      <c r="B43" s="8" t="inlineStr">
        <is>
          <t>ОЛОН УЛСЫН БАЙГУУЛЛАГА, СУУРИН ТӨЛӨӨЛӨГЧИЙН ҮЙЛ АЖИЛЛАГАА</t>
        </is>
      </c>
      <c r="C43" s="15" t="n">
        <v>32534.35949181</v>
      </c>
      <c r="D43" s="15" t="n">
        <v>31421.78391999</v>
      </c>
      <c r="E43" s="15">
        <f>D43-C43</f>
        <v/>
      </c>
      <c r="F43" s="26">
        <f>IFERROR((D43-C43)/C$54*100,"")</f>
        <v/>
      </c>
      <c r="G43" s="13">
        <f>IFERROR(D43/D$54,"")</f>
        <v/>
      </c>
      <c r="H43" s="15" t="n">
        <v>31421.78391999</v>
      </c>
      <c r="I43" s="13" t="n">
        <v>-0.426</v>
      </c>
    </row>
    <row r="44">
      <c r="A44" s="5" t="inlineStr">
        <is>
          <t>E</t>
        </is>
      </c>
      <c r="B44" s="5" t="inlineStr">
        <is>
          <t>УС ХАНГАМЖ; СУВАГЖИЛТЫН СИСТЕМ, ХОГ ХАЯГДАЛ ЗАЙЛУУЛАХ БОЛОН ХҮРЭЭЛЭН Б</t>
        </is>
      </c>
      <c r="C44" s="16" t="n">
        <v>34291.04600916</v>
      </c>
      <c r="D44" s="16" t="n">
        <v>30929.75560173999</v>
      </c>
      <c r="E44" s="16">
        <f>D44-C44</f>
        <v/>
      </c>
      <c r="F44" s="25">
        <f>IFERROR((D44-C44)/C$54*100,"")</f>
        <v/>
      </c>
      <c r="G44" s="14">
        <f>IFERROR(D44/D$54,"")</f>
        <v/>
      </c>
      <c r="H44" s="16" t="n">
        <v>30929.75560173999</v>
      </c>
      <c r="I44" s="14" t="n">
        <v>0.161</v>
      </c>
    </row>
    <row r="45">
      <c r="A45" s="8" t="inlineStr">
        <is>
          <t>F</t>
        </is>
      </c>
      <c r="B45" s="8" t="inlineStr">
        <is>
          <t>БАРИЛГА</t>
        </is>
      </c>
      <c r="C45" s="15" t="n">
        <v>3699185.745193727</v>
      </c>
      <c r="D45" s="15" t="n">
        <v>3693286.547588734</v>
      </c>
      <c r="E45" s="15">
        <f>D45-C45</f>
        <v/>
      </c>
      <c r="F45" s="26">
        <f>IFERROR((D45-C45)/C$54*100,"")</f>
        <v/>
      </c>
      <c r="G45" s="13">
        <f>IFERROR(D45/D$54,"")</f>
        <v/>
      </c>
      <c r="H45" s="15" t="n">
        <v>3523937.833262746</v>
      </c>
      <c r="I45" s="13" t="n">
        <v>0.279</v>
      </c>
    </row>
    <row r="46">
      <c r="A46" s="5" t="inlineStr">
        <is>
          <t>D</t>
        </is>
      </c>
      <c r="B46" s="5" t="inlineStr">
        <is>
          <t>ЦАХИЛГААН,ХИЙ, УУР, АГААРЖУУЛАЛТ</t>
        </is>
      </c>
      <c r="C46" s="16" t="n">
        <v>267217.2666309139</v>
      </c>
      <c r="D46" s="16" t="n">
        <v>255905.9351882419</v>
      </c>
      <c r="E46" s="16">
        <f>D46-C46</f>
        <v/>
      </c>
      <c r="F46" s="25">
        <f>IFERROR((D46-C46)/C$54*100,"")</f>
        <v/>
      </c>
      <c r="G46" s="14">
        <f>IFERROR(D46/D$54,"")</f>
        <v/>
      </c>
      <c r="H46" s="16" t="n">
        <v>134823.856627119</v>
      </c>
      <c r="I46" s="14" t="n">
        <v>0.048</v>
      </c>
    </row>
    <row r="47">
      <c r="A47" s="8" t="inlineStr">
        <is>
          <t>K</t>
        </is>
      </c>
      <c r="B47" s="8" t="inlineStr">
        <is>
          <t>САНХҮҮГИЙН БОЛОН ДААТГАЛЫН ҮЙЛ АЖИЛЛАГАА</t>
        </is>
      </c>
      <c r="C47" s="15" t="n">
        <v>664166.8460404041</v>
      </c>
      <c r="D47" s="15" t="n">
        <v>649208.5255651972</v>
      </c>
      <c r="E47" s="15">
        <f>D47-C47</f>
        <v/>
      </c>
      <c r="F47" s="26">
        <f>IFERROR((D47-C47)/C$54*100,"")</f>
        <v/>
      </c>
      <c r="G47" s="13">
        <f>IFERROR(D47/D$54,"")</f>
        <v/>
      </c>
      <c r="H47" s="15" t="n">
        <v>491322.057316369</v>
      </c>
      <c r="I47" s="13" t="n">
        <v>-0.442</v>
      </c>
    </row>
    <row r="48">
      <c r="A48" s="5" t="inlineStr">
        <is>
          <t>C</t>
        </is>
      </c>
      <c r="B48" s="5" t="inlineStr">
        <is>
          <t>БОЛОВСРУУЛАХ ҮЙЛДВЭРЛЭЛ</t>
        </is>
      </c>
      <c r="C48" s="16" t="n">
        <v>3474066.249701478</v>
      </c>
      <c r="D48" s="16" t="n">
        <v>3454118.773240107</v>
      </c>
      <c r="E48" s="16">
        <f>D48-C48</f>
        <v/>
      </c>
      <c r="F48" s="25">
        <f>IFERROR((D48-C48)/C$54*100,"")</f>
        <v/>
      </c>
      <c r="G48" s="14">
        <f>IFERROR(D48/D$54,"")</f>
        <v/>
      </c>
      <c r="H48" s="16" t="n">
        <v>3073912.538434355</v>
      </c>
      <c r="I48" s="14" t="n">
        <v>0.284</v>
      </c>
    </row>
    <row r="49">
      <c r="A49" s="8" t="inlineStr">
        <is>
          <t>S</t>
        </is>
      </c>
      <c r="B49" s="8" t="inlineStr">
        <is>
          <t>ҮЙЛЧИЛГЭЭНИЙ БУСАД ҮЙЛ АЖИЛЛАГАА</t>
        </is>
      </c>
      <c r="C49" s="15" t="n">
        <v>1548892.920709075</v>
      </c>
      <c r="D49" s="15" t="n">
        <v>1519730.078940829</v>
      </c>
      <c r="E49" s="15">
        <f>D49-C49</f>
        <v/>
      </c>
      <c r="F49" s="26">
        <f>IFERROR((D49-C49)/C$54*100,"")</f>
        <v/>
      </c>
      <c r="G49" s="13">
        <f>IFERROR(D49/D$54,"")</f>
        <v/>
      </c>
      <c r="H49" s="15" t="n">
        <v>1508870.941422907</v>
      </c>
      <c r="I49" s="13" t="n">
        <v>0.194</v>
      </c>
    </row>
    <row r="50">
      <c r="A50" s="5" t="inlineStr">
        <is>
          <t>A</t>
        </is>
      </c>
      <c r="B50" s="5" t="inlineStr">
        <is>
          <t>ХӨДӨӨ АЖ АХУЙ, ОЙН АЖ АХУЙ, ЗАГАС БАРИЛТ, АН АГНУУР</t>
        </is>
      </c>
      <c r="C50" s="16" t="n">
        <v>1519089.100893503</v>
      </c>
      <c r="D50" s="16" t="n">
        <v>1489876.635385107</v>
      </c>
      <c r="E50" s="16">
        <f>D50-C50</f>
        <v/>
      </c>
      <c r="F50" s="25">
        <f>IFERROR((D50-C50)/C$54*100,"")</f>
        <v/>
      </c>
      <c r="G50" s="14">
        <f>IFERROR(D50/D$54,"")</f>
        <v/>
      </c>
      <c r="H50" s="16" t="n">
        <v>1489769.028304324</v>
      </c>
      <c r="I50" s="14" t="n">
        <v>0.038</v>
      </c>
    </row>
    <row r="51">
      <c r="A51" s="8" t="inlineStr">
        <is>
          <t>V</t>
        </is>
      </c>
      <c r="B51" s="8" t="inlineStr">
        <is>
          <t>БУСАД</t>
        </is>
      </c>
      <c r="C51" s="15" t="n">
        <v>13417259.80867552</v>
      </c>
      <c r="D51" s="15" t="n">
        <v>13365102.90357774</v>
      </c>
      <c r="E51" s="15">
        <f>D51-C51</f>
        <v/>
      </c>
      <c r="F51" s="26">
        <f>IFERROR((D51-C51)/C$54*100,"")</f>
        <v/>
      </c>
      <c r="G51" s="13">
        <f>IFERROR(D51/D$54,"")</f>
        <v/>
      </c>
      <c r="H51" s="15" t="n">
        <v>13343663.4024636</v>
      </c>
      <c r="I51" s="13" t="n">
        <v>0.045</v>
      </c>
    </row>
    <row r="52">
      <c r="A52" s="5" t="inlineStr">
        <is>
          <t>G</t>
        </is>
      </c>
      <c r="B52" s="5" t="inlineStr">
        <is>
          <t>БӨӨНИЙ БОЛОН ЖИЖИГЛЭН ХУДАЛДАА, МАШИН, МОТОЦИКЛИЙН ЗАСВАР, ҮЙЛЧИЛГЭЭ</t>
        </is>
      </c>
      <c r="C52" s="16" t="n">
        <v>9783975.38016719</v>
      </c>
      <c r="D52" s="16" t="n">
        <v>9324147.638774859</v>
      </c>
      <c r="E52" s="16">
        <f>D52-C52</f>
        <v/>
      </c>
      <c r="F52" s="25">
        <f>IFERROR((D52-C52)/C$54*100,"")</f>
        <v/>
      </c>
      <c r="G52" s="14">
        <f>IFERROR(D52/D$54,"")</f>
        <v/>
      </c>
      <c r="H52" s="16" t="n">
        <v>8967635.991697472</v>
      </c>
      <c r="I52" s="14" t="n">
        <v>0.186</v>
      </c>
    </row>
    <row r="53">
      <c r="A53" s="8" t="inlineStr">
        <is>
          <t>L</t>
        </is>
      </c>
      <c r="B53" s="8" t="inlineStr">
        <is>
          <t>ҮЛ ХӨДЛӨХ ХӨРӨНГИЙН ҮЙЛ АЖИЛЛАГАА</t>
        </is>
      </c>
      <c r="C53" s="15" t="n">
        <v>7819687.942295427</v>
      </c>
      <c r="D53" s="15" t="n">
        <v>7204175.332255777</v>
      </c>
      <c r="E53" s="15">
        <f>D53-C53</f>
        <v/>
      </c>
      <c r="F53" s="26">
        <f>IFERROR((D53-C53)/C$54*100,"")</f>
        <v/>
      </c>
      <c r="G53" s="13">
        <f>IFERROR(D53/D$54,"")</f>
        <v/>
      </c>
      <c r="H53" s="15" t="n">
        <v>7198587.171469577</v>
      </c>
      <c r="I53" s="13" t="n">
        <v>0.102</v>
      </c>
    </row>
    <row r="54">
      <c r="B54" s="4" t="inlineStr">
        <is>
          <t>Нийт (Total)</t>
        </is>
      </c>
      <c r="C54" s="32">
        <f>SUM(C32:C53)</f>
        <v/>
      </c>
      <c r="D54" s="32">
        <f>SUM(D32:D53)</f>
        <v/>
      </c>
      <c r="E54" s="32">
        <f>SUM(E32:E53)</f>
        <v/>
      </c>
      <c r="F54" s="27">
        <f>SUM(F32:F53)</f>
        <v/>
      </c>
      <c r="G54" s="29">
        <f>SUM(G32:G53)</f>
        <v/>
      </c>
      <c r="H54" s="32">
        <f>SUM(H32:H53)</f>
        <v/>
      </c>
    </row>
    <row r="56">
      <c r="A56" s="4" t="inlineStr">
        <is>
          <t>2b. Нэрлэсэн зээлүүд (named loan products, already included in their sector above)</t>
        </is>
      </c>
    </row>
    <row r="57">
      <c r="A57" s="3" t="inlineStr">
        <is>
          <t>Код</t>
        </is>
      </c>
      <c r="B57" s="3" t="inlineStr">
        <is>
          <t>Зээл (Product)</t>
        </is>
      </c>
      <c r="C57" s="3" t="inlineStr">
        <is>
          <t>Эхний үлдэгдэл (Opening)</t>
        </is>
      </c>
      <c r="D57" s="3" t="inlineStr">
        <is>
          <t>Эцсийн үлдэгдэл (Closing)</t>
        </is>
      </c>
      <c r="E57" s="3" t="inlineStr">
        <is>
          <t>Өөрчлөлт (Change)</t>
        </is>
      </c>
    </row>
    <row r="58">
      <c r="A58" s="5" t="inlineStr">
        <is>
          <t>A</t>
        </is>
      </c>
      <c r="B58" s="5" t="inlineStr">
        <is>
          <t>Үүнээс: а. Хөдөө аж ахуй</t>
        </is>
      </c>
      <c r="C58" s="16" t="n">
        <v>506539.4259837919</v>
      </c>
      <c r="D58" s="16" t="n">
        <v>491651.9312600162</v>
      </c>
      <c r="E58" s="16">
        <f>D58-C58</f>
        <v/>
      </c>
    </row>
    <row r="59">
      <c r="A59" s="8" t="inlineStr">
        <is>
          <t>A</t>
        </is>
      </c>
      <c r="B59" s="8" t="inlineStr">
        <is>
          <t>б. Газар тариалан</t>
        </is>
      </c>
      <c r="C59" s="15" t="n">
        <v>973094.7458408503</v>
      </c>
      <c r="D59" s="15" t="n">
        <v>959154.7918571498</v>
      </c>
      <c r="E59" s="15">
        <f>D59-C59</f>
        <v/>
      </c>
    </row>
    <row r="60">
      <c r="A60" s="5" t="inlineStr">
        <is>
          <t>P</t>
        </is>
      </c>
      <c r="B60" s="5" t="inlineStr">
        <is>
          <t>Үүнээс: Сургалтын зээл (дотоод)</t>
        </is>
      </c>
      <c r="C60" s="16" t="n">
        <v>1036.76080285</v>
      </c>
      <c r="D60" s="16" t="n">
        <v>1042.27517445</v>
      </c>
      <c r="E60" s="16">
        <f>D60-C60</f>
        <v/>
      </c>
    </row>
    <row r="61">
      <c r="A61" s="8" t="inlineStr">
        <is>
          <t>Q</t>
        </is>
      </c>
      <c r="B61" s="8" t="inlineStr">
        <is>
          <t>Үүнээс: 6.Эмчилгээний төлбөрийн зээл (дотоод)</t>
        </is>
      </c>
      <c r="C61" s="15" t="n">
        <v>0</v>
      </c>
      <c r="D61" s="15" t="n">
        <v>0</v>
      </c>
      <c r="E61" s="15">
        <f>D61-C61</f>
        <v/>
      </c>
    </row>
    <row r="62">
      <c r="A62" s="5" t="inlineStr">
        <is>
          <t>V</t>
        </is>
      </c>
      <c r="B62" s="5" t="inlineStr">
        <is>
          <t>Үүнээс: 1. Цалингийн зээл</t>
        </is>
      </c>
      <c r="C62" s="16" t="n">
        <v>6325959.768438328</v>
      </c>
      <c r="D62" s="16" t="n">
        <v>6281646.186720318</v>
      </c>
      <c r="E62" s="16">
        <f>D62-C62</f>
        <v/>
      </c>
    </row>
    <row r="63">
      <c r="A63" s="8" t="inlineStr">
        <is>
          <t>V</t>
        </is>
      </c>
      <c r="B63" s="8" t="inlineStr">
        <is>
          <t>Үүнээс: 2. Тэтгэврийн зээл</t>
        </is>
      </c>
      <c r="C63" s="15" t="n">
        <v>3157630.163973129</v>
      </c>
      <c r="D63" s="15" t="n">
        <v>3184072.991854158</v>
      </c>
      <c r="E63" s="15">
        <f>D63-C63</f>
        <v/>
      </c>
    </row>
    <row r="64">
      <c r="A64" s="5" t="inlineStr">
        <is>
          <t>V</t>
        </is>
      </c>
      <c r="B64" s="5" t="inlineStr">
        <is>
          <t>Үүнээс: 3.Картын зээл</t>
        </is>
      </c>
      <c r="C64" s="16" t="n">
        <v>209288.4070666274</v>
      </c>
      <c r="D64" s="16" t="n">
        <v>209443.4703750356</v>
      </c>
      <c r="E64" s="16">
        <f>D64-C64</f>
        <v/>
      </c>
    </row>
    <row r="65">
      <c r="A65" s="8" t="inlineStr">
        <is>
          <t>V</t>
        </is>
      </c>
      <c r="B65" s="8" t="inlineStr">
        <is>
          <t>Үүнээс: 4.Автомашины зээл</t>
        </is>
      </c>
      <c r="C65" s="15" t="n">
        <v>60731.2149973</v>
      </c>
      <c r="D65" s="15" t="n">
        <v>59173.79646577002</v>
      </c>
      <c r="E65" s="15">
        <f>D65-C65</f>
        <v/>
      </c>
    </row>
    <row r="66">
      <c r="A66" s="5" t="inlineStr">
        <is>
          <t>V</t>
        </is>
      </c>
      <c r="B66" s="5" t="inlineStr">
        <is>
          <t>Үүнээс: 5.Өрхийн хэрэглээнд зориулсан зээл</t>
        </is>
      </c>
      <c r="C66" s="16" t="n">
        <v>648662.513368542</v>
      </c>
      <c r="D66" s="16" t="n">
        <v>641637.5647548101</v>
      </c>
      <c r="E66" s="16">
        <f>D66-C66</f>
        <v/>
      </c>
    </row>
    <row r="67">
      <c r="A67" s="8" t="inlineStr">
        <is>
          <t>V</t>
        </is>
      </c>
      <c r="B67" s="8" t="inlineStr">
        <is>
          <t>Үүнээс: 6.Эмчилгээний төлбөрийн зээл (гадаад)</t>
        </is>
      </c>
      <c r="C67" s="15" t="n">
        <v>4.61857225</v>
      </c>
      <c r="D67" s="15" t="n">
        <v>4.21334365</v>
      </c>
      <c r="E67" s="15">
        <f>D67-C67</f>
        <v/>
      </c>
    </row>
    <row r="68">
      <c r="A68" s="5" t="inlineStr">
        <is>
          <t>V</t>
        </is>
      </c>
      <c r="B68" s="5" t="inlineStr">
        <is>
          <t>Үүнээс: 7.Сургалтын зээл (гадаад)</t>
        </is>
      </c>
      <c r="C68" s="16" t="n">
        <v>240.512391254</v>
      </c>
      <c r="D68" s="16" t="n">
        <v>217.7992912424</v>
      </c>
      <c r="E68" s="16">
        <f>D68-C68</f>
        <v/>
      </c>
    </row>
    <row r="69">
      <c r="A69" s="8" t="inlineStr">
        <is>
          <t>V</t>
        </is>
      </c>
      <c r="B69" s="8" t="inlineStr">
        <is>
          <t>Үүнээс: 8.Малчны зээл</t>
        </is>
      </c>
      <c r="C69" s="15" t="n">
        <v>1208059.163217722</v>
      </c>
      <c r="D69" s="15" t="n">
        <v>1235685.714788634</v>
      </c>
      <c r="E69" s="15">
        <f>D69-C69</f>
        <v/>
      </c>
    </row>
    <row r="70">
      <c r="A70" s="5" t="inlineStr">
        <is>
          <t>V</t>
        </is>
      </c>
      <c r="B70" s="5" t="inlineStr">
        <is>
          <t>Үүнээс: 9.Хадгаламж, данс барьцаалсан зээл</t>
        </is>
      </c>
      <c r="C70" s="16" t="n">
        <v>1805747.441568575</v>
      </c>
      <c r="D70" s="16" t="n">
        <v>1752305.785345888</v>
      </c>
      <c r="E70" s="16">
        <f>D70-C70</f>
        <v/>
      </c>
    </row>
    <row r="72">
      <c r="A72" s="4" t="inlineStr">
        <is>
          <t>3. ЧАНАРААР (loan quality and NPL)</t>
        </is>
      </c>
    </row>
    <row r="73">
      <c r="A73" s="3" t="inlineStr">
        <is>
          <t>Ангилал (Class)</t>
        </is>
      </c>
      <c r="B73" s="3" t="inlineStr">
        <is>
          <t>Эхний үлдэгдэл (Opening)</t>
        </is>
      </c>
      <c r="C73" s="3" t="inlineStr">
        <is>
          <t>Эцсийн үлдэгдэл (Closing)</t>
        </is>
      </c>
      <c r="D73" s="3" t="inlineStr">
        <is>
          <t>Өөрчлөлт (Change)</t>
        </is>
      </c>
      <c r="E73" s="3" t="inlineStr">
        <is>
          <t>Эзлэх (Share)</t>
        </is>
      </c>
    </row>
    <row r="74">
      <c r="A74" s="5" t="inlineStr">
        <is>
          <t>Хэвийн зээл (Performing)</t>
        </is>
      </c>
      <c r="B74" s="16" t="n">
        <v>45300628.61208542</v>
      </c>
      <c r="C74" s="16" t="n">
        <v>44129237.17118859</v>
      </c>
      <c r="D74" s="16">
        <f>C74-B74</f>
        <v/>
      </c>
      <c r="E74" s="14">
        <f>IFERROR(C74/47876124.33761412,"")</f>
        <v/>
      </c>
    </row>
    <row r="75">
      <c r="A75" s="8" t="inlineStr">
        <is>
          <t>Анхаарал хандуулах зээл (Special mention)</t>
        </is>
      </c>
      <c r="B75" s="15" t="n">
        <v>1216315.376745611</v>
      </c>
      <c r="C75" s="15" t="n">
        <v>1236542.73795801</v>
      </c>
      <c r="D75" s="15">
        <f>C75-B75</f>
        <v/>
      </c>
      <c r="E75" s="13">
        <f>IFERROR(C75/47876124.33761412,"")</f>
        <v/>
      </c>
    </row>
    <row r="76">
      <c r="A76" s="5" t="inlineStr">
        <is>
          <t>Хэвийн бус зээл (Substandard)</t>
        </is>
      </c>
      <c r="B76" s="16" t="n">
        <v>450067.4316379559</v>
      </c>
      <c r="C76" s="16" t="n">
        <v>460655.3318199544</v>
      </c>
      <c r="D76" s="16">
        <f>C76-B76</f>
        <v/>
      </c>
      <c r="E76" s="14">
        <f>IFERROR(C76/47876124.33761412,"")</f>
        <v/>
      </c>
    </row>
    <row r="77">
      <c r="A77" s="8" t="inlineStr">
        <is>
          <t>Эргэлзээтэй зээл (Doubtful)</t>
        </is>
      </c>
      <c r="B77" s="15" t="n">
        <v>424153.6694457189</v>
      </c>
      <c r="C77" s="15" t="n">
        <v>463114.8526706445</v>
      </c>
      <c r="D77" s="15">
        <f>C77-B77</f>
        <v/>
      </c>
      <c r="E77" s="13">
        <f>IFERROR(C77/47876124.33761412,"")</f>
        <v/>
      </c>
    </row>
    <row r="78">
      <c r="A78" s="5" t="inlineStr">
        <is>
          <t>Муу зээл (Loss)</t>
        </is>
      </c>
      <c r="B78" s="16" t="n">
        <v>1566057.102527174</v>
      </c>
      <c r="C78" s="16" t="n">
        <v>1586574.24397693</v>
      </c>
      <c r="D78" s="16">
        <f>C78-B78</f>
        <v/>
      </c>
      <c r="E78" s="14">
        <f>IFERROR(C78/47876124.33761412,"")</f>
        <v/>
      </c>
    </row>
    <row r="79">
      <c r="A79" s="8" t="inlineStr">
        <is>
          <t>Сан (Provisions)</t>
        </is>
      </c>
      <c r="B79" s="15" t="n">
        <v>2061959.921692284</v>
      </c>
      <c r="C79" s="15" t="n">
        <v>2137590.125359975</v>
      </c>
      <c r="D79" s="15">
        <f>C79-B79</f>
        <v/>
      </c>
      <c r="E79" s="13">
        <f>IFERROR(C79/47876124.33761412,"")</f>
        <v/>
      </c>
    </row>
    <row r="80">
      <c r="A80" s="4" t="inlineStr">
        <is>
          <t>Чанаргүй зээл (NPL = substandard + doubtful + loss)</t>
        </is>
      </c>
      <c r="C80" s="32">
        <f>C76+C77+C78</f>
        <v/>
      </c>
      <c r="E80" s="29">
        <f>IFERROR(C80/47876124.33761412,"")</f>
        <v/>
      </c>
    </row>
    <row r="82">
      <c r="A82" s="4" t="inlineStr">
        <is>
          <t>4. ЗЭЭЛДЭГЧЭЭР (by borrower type)</t>
        </is>
      </c>
    </row>
    <row r="83">
      <c r="A83" s="3" t="inlineStr">
        <is>
          <t>Зээлдэгч (Borrower)</t>
        </is>
      </c>
      <c r="B83" s="3" t="inlineStr">
        <is>
          <t>Эхний үлдэгдэл (Opening)</t>
        </is>
      </c>
      <c r="C83" s="3" t="inlineStr">
        <is>
          <t>Эцсийн үлдэгдэл (Closing)</t>
        </is>
      </c>
      <c r="D83" s="3" t="inlineStr">
        <is>
          <t>Өөрчлөлт (Change)</t>
        </is>
      </c>
      <c r="E83" s="3" t="inlineStr">
        <is>
          <t>Өсөлт (Growth)</t>
        </is>
      </c>
      <c r="F83" s="3" t="inlineStr">
        <is>
          <t>Эзлэх (Share)</t>
        </is>
      </c>
      <c r="G83" s="3" t="inlineStr">
        <is>
          <t>Зээлдэгчийн тоо (Count)</t>
        </is>
      </c>
    </row>
    <row r="84">
      <c r="A84" s="5" t="inlineStr">
        <is>
          <t>Хувийн байгууллага (Private companies)</t>
        </is>
      </c>
      <c r="B84" s="16" t="n">
        <v>18653496.13531603</v>
      </c>
      <c r="C84" s="16" t="n">
        <v>19540428.99257299</v>
      </c>
      <c r="D84" s="16">
        <f>C84-B84</f>
        <v/>
      </c>
      <c r="E84" s="14">
        <f>IFERROR(C84/B84-1,"")</f>
        <v/>
      </c>
      <c r="F84" s="14">
        <f>IFERROR(C84/C$89,"")</f>
        <v/>
      </c>
      <c r="G84" s="16" t="n">
        <v>19770</v>
      </c>
    </row>
    <row r="85">
      <c r="A85" s="8" t="inlineStr">
        <is>
          <t>Улсын байгууллага (State organisations)</t>
        </is>
      </c>
      <c r="B85" s="15" t="n">
        <v>286116.60291807</v>
      </c>
      <c r="C85" s="15" t="n">
        <v>369928.19265933</v>
      </c>
      <c r="D85" s="15">
        <f>C85-B85</f>
        <v/>
      </c>
      <c r="E85" s="13">
        <f>IFERROR(C85/B85-1,"")</f>
        <v/>
      </c>
      <c r="F85" s="13">
        <f>IFERROR(C85/C$89,"")</f>
        <v/>
      </c>
      <c r="G85" s="15" t="n">
        <v>87</v>
      </c>
    </row>
    <row r="86">
      <c r="A86" s="5" t="inlineStr">
        <is>
          <t>Бусад санхүүгийн байгууллага (Other financial corp.)</t>
        </is>
      </c>
      <c r="B86" s="16" t="n">
        <v>292866.814704874</v>
      </c>
      <c r="C86" s="16" t="n">
        <v>275006.8942223674</v>
      </c>
      <c r="D86" s="16">
        <f>C86-B86</f>
        <v/>
      </c>
      <c r="E86" s="14">
        <f>IFERROR(C86/B86-1,"")</f>
        <v/>
      </c>
      <c r="F86" s="14">
        <f>IFERROR(C86/C$89,"")</f>
        <v/>
      </c>
      <c r="G86" s="16" t="n">
        <v>145</v>
      </c>
    </row>
    <row r="87">
      <c r="A87" s="8" t="inlineStr">
        <is>
          <t>Иргэд (Individuals)</t>
        </is>
      </c>
      <c r="B87" s="15" t="n">
        <v>28829077.86075512</v>
      </c>
      <c r="C87" s="15" t="n">
        <v>28117723.23085166</v>
      </c>
      <c r="D87" s="15">
        <f>C87-B87</f>
        <v/>
      </c>
      <c r="E87" s="13">
        <f>IFERROR(C87/B87-1,"")</f>
        <v/>
      </c>
      <c r="F87" s="13">
        <f>IFERROR(C87/C$89,"")</f>
        <v/>
      </c>
      <c r="G87" s="15" t="n">
        <v>2216720</v>
      </c>
    </row>
    <row r="88">
      <c r="A88" s="5" t="inlineStr">
        <is>
          <t>Бусад (Other)</t>
        </is>
      </c>
      <c r="B88" s="16" t="n">
        <v>8731.921490829998</v>
      </c>
      <c r="C88" s="16" t="n">
        <v>9357.834329169998</v>
      </c>
      <c r="D88" s="16">
        <f>C88-B88</f>
        <v/>
      </c>
      <c r="E88" s="14">
        <f>IFERROR(C88/B88-1,"")</f>
        <v/>
      </c>
      <c r="F88" s="14">
        <f>IFERROR(C88/C$89,"")</f>
        <v/>
      </c>
      <c r="G88" s="16" t="n">
        <v>46</v>
      </c>
    </row>
    <row r="89">
      <c r="A89" s="4" t="inlineStr">
        <is>
          <t>Нийт (Total)</t>
        </is>
      </c>
      <c r="B89" s="32">
        <f>SUM(B84:B88)</f>
        <v/>
      </c>
      <c r="C89" s="32">
        <f>SUM(C84:C88)</f>
        <v/>
      </c>
      <c r="D89" s="32">
        <f>SUM(D84:D88)</f>
        <v/>
      </c>
      <c r="G89" s="32">
        <f>SUM(G84:G88)</f>
        <v/>
      </c>
    </row>
    <row r="91">
      <c r="A91" s="4" t="inlineStr">
        <is>
          <t>5. ХҮҮ, ХУГАЦАА (weighted average, total book)</t>
        </is>
      </c>
    </row>
    <row r="92">
      <c r="A92" s="3" t="inlineStr">
        <is>
          <t>Үзүүлэлт (Measure)</t>
        </is>
      </c>
      <c r="B92" s="3" t="inlineStr">
        <is>
          <t>Төгрөг (MNT)</t>
        </is>
      </c>
      <c r="C92" s="3" t="inlineStr">
        <is>
          <t>Гадаад валют (FX)</t>
        </is>
      </c>
    </row>
    <row r="93">
      <c r="A93" s="5" t="inlineStr">
        <is>
          <t>Тайлант сард олгосон зээлийн хүү (New lending rate)</t>
        </is>
      </c>
      <c r="B93" s="14" t="n">
        <v>0.1724523613405722</v>
      </c>
      <c r="C93" s="14" t="n">
        <v>0.1104961555841127</v>
      </c>
    </row>
    <row r="94">
      <c r="A94" s="5" t="inlineStr">
        <is>
          <t>Үлдэгдэл зээлийн хүү (Rate on outstanding stock)</t>
        </is>
      </c>
      <c r="B94" s="14" t="n">
        <v>0.1696335953016497</v>
      </c>
      <c r="C94" s="14" t="n">
        <v>0.1077762183579391</v>
      </c>
    </row>
    <row r="95">
      <c r="A95" s="5" t="inlineStr">
        <is>
          <t>Үлдэгдэл зээлийн хугацаа, сар (Maturity, months)</t>
        </is>
      </c>
      <c r="B95" s="25" t="n">
        <v>54</v>
      </c>
    </row>
    <row r="97">
      <c r="A97" s="4" t="inlineStr">
        <is>
          <t>6. САРААР (monthly series — self-extending)</t>
        </is>
      </c>
    </row>
    <row r="98">
      <c r="A98" s="3" t="inlineStr">
        <is>
          <t>Сар (Month)</t>
        </is>
      </c>
      <c r="B98" s="3" t="inlineStr">
        <is>
          <t>Эхний үлдэгдэл (Opening)</t>
        </is>
      </c>
      <c r="C98" s="3" t="inlineStr">
        <is>
          <t>Эцсийн үлдэгдэл (Closing)</t>
        </is>
      </c>
      <c r="D98" s="3" t="inlineStr">
        <is>
          <t>Олгосон (Disbursed)</t>
        </is>
      </c>
      <c r="E98" s="3" t="inlineStr">
        <is>
          <t>Төлөгдсөн (Repaid)</t>
        </is>
      </c>
      <c r="F98" s="3" t="inlineStr">
        <is>
          <t>Өсөлт (MoM)</t>
        </is>
      </c>
    </row>
    <row r="99">
      <c r="A99" s="5" t="inlineStr">
        <is>
          <t>2025-07</t>
        </is>
      </c>
      <c r="B99" s="16" t="n">
        <v>42224381.71188361</v>
      </c>
      <c r="C99" s="16" t="n">
        <v>42360924.30280294</v>
      </c>
      <c r="D99" s="16" t="n">
        <v>5233344.628196316</v>
      </c>
      <c r="E99" s="16" t="n">
        <v>5098397.696727592</v>
      </c>
      <c r="F99" s="14">
        <f>IFERROR(C99/B99-1,"")</f>
        <v/>
      </c>
    </row>
    <row r="100">
      <c r="A100" s="8" t="inlineStr">
        <is>
          <t>2025-08</t>
        </is>
      </c>
      <c r="B100" s="15" t="n">
        <v>42360924.30280297</v>
      </c>
      <c r="C100" s="15" t="n">
        <v>42294729.29419819</v>
      </c>
      <c r="D100" s="15" t="n">
        <v>5245403.068624178</v>
      </c>
      <c r="E100" s="15" t="n">
        <v>4707909.129466886</v>
      </c>
      <c r="F100" s="13">
        <f>IFERROR(C100/B100-1,"")</f>
        <v/>
      </c>
    </row>
    <row r="101">
      <c r="A101" s="5" t="inlineStr">
        <is>
          <t>2025-09</t>
        </is>
      </c>
      <c r="B101" s="16" t="n">
        <v>42294729.2941891</v>
      </c>
      <c r="C101" s="16" t="n">
        <v>42726783.33478093</v>
      </c>
      <c r="D101" s="16" t="n">
        <v>5615404.994079568</v>
      </c>
      <c r="E101" s="16" t="n">
        <v>5177882.385762204</v>
      </c>
      <c r="F101" s="14">
        <f>IFERROR(C101/B101-1,"")</f>
        <v/>
      </c>
    </row>
    <row r="102">
      <c r="A102" s="8" t="inlineStr">
        <is>
          <t>2025-10</t>
        </is>
      </c>
      <c r="B102" s="15" t="n">
        <v>42726783.33479023</v>
      </c>
      <c r="C102" s="15" t="n">
        <v>43460369.23238213</v>
      </c>
      <c r="D102" s="15" t="n">
        <v>6102414.499484845</v>
      </c>
      <c r="E102" s="15" t="n">
        <v>5363011.416592835</v>
      </c>
      <c r="F102" s="13">
        <f>IFERROR(C102/B102-1,"")</f>
        <v/>
      </c>
    </row>
    <row r="103">
      <c r="A103" s="5" t="inlineStr">
        <is>
          <t>2025-11</t>
        </is>
      </c>
      <c r="B103" s="16" t="n">
        <v>43460369.23238171</v>
      </c>
      <c r="C103" s="16" t="n">
        <v>43107325.97685855</v>
      </c>
      <c r="D103" s="16" t="n">
        <v>4993547.282115016</v>
      </c>
      <c r="E103" s="16" t="n">
        <v>4815168.599092355</v>
      </c>
      <c r="F103" s="14">
        <f>IFERROR(C103/B103-1,"")</f>
        <v/>
      </c>
    </row>
    <row r="104">
      <c r="A104" s="8" t="inlineStr">
        <is>
          <t>2025-12</t>
        </is>
      </c>
      <c r="B104" s="15" t="n">
        <v>43107325.97686216</v>
      </c>
      <c r="C104" s="15" t="n">
        <v>43751569.74338971</v>
      </c>
      <c r="D104" s="15" t="n">
        <v>6670921.087805387</v>
      </c>
      <c r="E104" s="15" t="n">
        <v>6025240.637805687</v>
      </c>
      <c r="F104" s="13">
        <f>IFERROR(C104/B104-1,"")</f>
        <v/>
      </c>
    </row>
    <row r="105">
      <c r="A105" s="5" t="inlineStr">
        <is>
          <t>2026-01</t>
        </is>
      </c>
      <c r="B105" s="16" t="n">
        <v>43751569.74338967</v>
      </c>
      <c r="C105" s="16" t="n">
        <v>43908125.67430738</v>
      </c>
      <c r="D105" s="16" t="n">
        <v>5497105.112176184</v>
      </c>
      <c r="E105" s="16" t="n">
        <v>5348273.740207392</v>
      </c>
      <c r="F105" s="14">
        <f>IFERROR(C105/B105-1,"")</f>
        <v/>
      </c>
    </row>
    <row r="106">
      <c r="A106" s="8" t="inlineStr">
        <is>
          <t>2026-02</t>
        </is>
      </c>
      <c r="B106" s="15" t="n">
        <v>43908125.67430765</v>
      </c>
      <c r="C106" s="15" t="n">
        <v>43889721.94149075</v>
      </c>
      <c r="D106" s="15" t="n">
        <v>4260443.482500114</v>
      </c>
      <c r="E106" s="15" t="n">
        <v>4278682.503322934</v>
      </c>
      <c r="F106" s="13">
        <f>IFERROR(C106/B106-1,"")</f>
        <v/>
      </c>
    </row>
    <row r="107">
      <c r="A107" s="5" t="inlineStr">
        <is>
          <t>2026-03</t>
        </is>
      </c>
      <c r="B107" s="16" t="n">
        <v>43889721.94149108</v>
      </c>
      <c r="C107" s="16" t="n">
        <v>45005550.91606418</v>
      </c>
      <c r="D107" s="16" t="n">
        <v>5969526.809374778</v>
      </c>
      <c r="E107" s="16" t="n">
        <v>4845873.508295034</v>
      </c>
      <c r="F107" s="14">
        <f>IFERROR(C107/B107-1,"")</f>
        <v/>
      </c>
    </row>
    <row r="108">
      <c r="A108" s="8" t="inlineStr">
        <is>
          <t>2026-04</t>
        </is>
      </c>
      <c r="B108" s="15" t="n">
        <v>45005550.91606393</v>
      </c>
      <c r="C108" s="15" t="n">
        <v>45963701.48135257</v>
      </c>
      <c r="D108" s="15" t="n">
        <v>6829824.657124816</v>
      </c>
      <c r="E108" s="15" t="n">
        <v>5869933.026749785</v>
      </c>
      <c r="F108" s="13">
        <f>IFERROR(C108/B108-1,"")</f>
        <v/>
      </c>
    </row>
    <row r="109">
      <c r="A109" s="5" t="inlineStr">
        <is>
          <t>2026-05</t>
        </is>
      </c>
      <c r="B109" s="16" t="n">
        <v>45963701.48135253</v>
      </c>
      <c r="C109" s="16" t="n">
        <v>47259969.2538481</v>
      </c>
      <c r="D109" s="16" t="n">
        <v>7268851.702007448</v>
      </c>
      <c r="E109" s="16" t="n">
        <v>5977316.990003428</v>
      </c>
      <c r="F109" s="14">
        <f>IFERROR(C109/B109-1,"")</f>
        <v/>
      </c>
    </row>
    <row r="110">
      <c r="A110" s="8" t="inlineStr">
        <is>
          <t>2026-06</t>
        </is>
      </c>
      <c r="B110" s="15" t="n">
        <v>47259969.25384816</v>
      </c>
      <c r="C110" s="15" t="n">
        <v>48957222.19244185</v>
      </c>
      <c r="D110" s="15" t="n">
        <v>8102758.56721157</v>
      </c>
      <c r="E110" s="15" t="n">
        <v>6381495.654765538</v>
      </c>
      <c r="F110" s="13">
        <f>IFERROR(C110/B110-1,"")</f>
        <v/>
      </c>
    </row>
    <row r="111">
      <c r="A111" s="5" t="inlineStr">
        <is>
          <t>2026-07</t>
        </is>
      </c>
      <c r="B111" s="16" t="n">
        <v>48957222.19244188</v>
      </c>
      <c r="C111" s="16" t="n">
        <v>47876124.33761412</v>
      </c>
      <c r="D111" s="16" t="n">
        <v>5840363.749383939</v>
      </c>
      <c r="E111" s="16" t="n">
        <v>6188131.501797864</v>
      </c>
      <c r="F111" s="14">
        <f>IFERROR(C111/B111-1,"")</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06"/>
  <sheetViews>
    <sheetView workbookViewId="0">
      <pane ySplit="3" topLeftCell="A4" activePane="bottomLeft" state="frozen"/>
      <selection pane="bottomLeft" activeCell="A1" sqref="A1"/>
    </sheetView>
  </sheetViews>
  <sheetFormatPr baseColWidth="8" defaultRowHeight="15"/>
  <cols>
    <col width="14" customWidth="1" min="1" max="1"/>
    <col width="20" customWidth="1" min="2" max="2"/>
    <col width="20" customWidth="1" min="3" max="3"/>
    <col width="16" customWidth="1" min="4" max="4"/>
    <col width="22" customWidth="1" min="5" max="5"/>
    <col width="14" customWidth="1" min="6" max="6"/>
  </cols>
  <sheetData>
    <row r="1">
      <c r="A1" s="1" t="inlineStr">
        <is>
          <t>Бодит салбарууд (Real sector — trade, services, construction, industry)</t>
        </is>
      </c>
    </row>
    <row r="2">
      <c r="A2" s="2" t="inlineStr">
        <is>
          <t>Deck slides 16-21. Source: NSO 1212.mn. Cumulative from the start of the year (өссөн дүнгээр); growth is year on year on that cumulative; each component's contribution is its share of the year-on-year change, so the contributions sum to the headline growth. Money in сая төг.</t>
        </is>
      </c>
    </row>
    <row r="4">
      <c r="A4" s="10" t="inlineStr">
        <is>
          <t>МЭДЭЭЛЛИЙН ОН САР / DATA AS OF:  2026-06, 2026-07, 2026-Q2      [тайлант үе / reported month: 2026-07]   ← ЗАРИМ ХҮСНЭГТ ӨМНӨХ САРЫНХ (some tables lag; each table's own month is on its header line)</t>
        </is>
      </c>
    </row>
    <row r="6">
      <c r="A6" s="4" t="inlineStr">
        <is>
          <t>Худалдааны салбарын нийт борлуулалт — 2026-06</t>
        </is>
      </c>
    </row>
    <row r="7">
      <c r="A7" s="5" t="inlineStr">
        <is>
          <t>Сараар, өссөн дүнгээр   ·   нийт 33,813,378.1 сая төг   ·   өмнөх оны мөн үе 30,720,541.5</t>
        </is>
      </c>
    </row>
    <row r="8">
      <c r="A8" s="3" t="inlineStr">
        <is>
          <t>Бүрэлдэхүүн (Component)</t>
        </is>
      </c>
      <c r="B8" s="3" t="inlineStr">
        <is>
          <t>Өмнөх он (Prev, cum.)</t>
        </is>
      </c>
      <c r="C8" s="3" t="inlineStr">
        <is>
          <t>Тайлант он (Cur, cum.)</t>
        </is>
      </c>
      <c r="D8" s="3" t="inlineStr">
        <is>
          <t>Өөрчлөлт (Change)</t>
        </is>
      </c>
      <c r="E8" s="3" t="inlineStr">
        <is>
          <t>Хувь нэмэр (Contribution, pp)</t>
        </is>
      </c>
      <c r="F8" s="3" t="inlineStr">
        <is>
          <t>Жилийн өсөлт (YoY)</t>
        </is>
      </c>
    </row>
    <row r="9">
      <c r="A9" s="5" t="inlineStr">
        <is>
          <t>Улаанбаатар</t>
        </is>
      </c>
      <c r="B9" s="16" t="n">
        <v>26499026.62</v>
      </c>
      <c r="C9" s="16" t="n">
        <v>29139515.44</v>
      </c>
      <c r="D9" s="16">
        <f>C9-B9</f>
        <v/>
      </c>
      <c r="E9" s="25" t="n">
        <v>8.595190000000001</v>
      </c>
      <c r="F9" s="14" t="n">
        <v>0.09960000000000001</v>
      </c>
    </row>
    <row r="10">
      <c r="A10" s="8" t="inlineStr">
        <is>
          <t>Төвийн бүс</t>
        </is>
      </c>
      <c r="B10" s="15" t="n">
        <v>2096239.67</v>
      </c>
      <c r="C10" s="15" t="n">
        <v>2364455.7</v>
      </c>
      <c r="D10" s="15">
        <f>C10-B10</f>
        <v/>
      </c>
      <c r="E10" s="26" t="n">
        <v>0.873084</v>
      </c>
      <c r="F10" s="13" t="n">
        <v>0.128</v>
      </c>
    </row>
    <row r="11">
      <c r="A11" s="5" t="inlineStr">
        <is>
          <t>Хангайн бүс</t>
        </is>
      </c>
      <c r="B11" s="16" t="n">
        <v>1024414.21</v>
      </c>
      <c r="C11" s="16" t="n">
        <v>1144447.81</v>
      </c>
      <c r="D11" s="16">
        <f>C11-B11</f>
        <v/>
      </c>
      <c r="E11" s="25" t="n">
        <v>0.390727</v>
      </c>
      <c r="F11" s="14" t="n">
        <v>0.1172</v>
      </c>
    </row>
    <row r="12">
      <c r="A12" s="8" t="inlineStr">
        <is>
          <t>Баруун бүс</t>
        </is>
      </c>
      <c r="B12" s="15" t="n">
        <v>587458.34</v>
      </c>
      <c r="C12" s="15" t="n">
        <v>624672.09</v>
      </c>
      <c r="D12" s="15">
        <f>C12-B12</f>
        <v/>
      </c>
      <c r="E12" s="26" t="n">
        <v>0.121136</v>
      </c>
      <c r="F12" s="13" t="n">
        <v>0.0633</v>
      </c>
    </row>
    <row r="13">
      <c r="A13" s="5" t="inlineStr">
        <is>
          <t>Зүүн бүс</t>
        </is>
      </c>
      <c r="B13" s="16" t="n">
        <v>513402.67</v>
      </c>
      <c r="C13" s="16" t="n">
        <v>540287.03</v>
      </c>
      <c r="D13" s="16">
        <f>C13-B13</f>
        <v/>
      </c>
      <c r="E13" s="25" t="n">
        <v>0.08751299999999999</v>
      </c>
      <c r="F13" s="14" t="n">
        <v>0.0524</v>
      </c>
    </row>
    <row r="14">
      <c r="A14" s="4" t="inlineStr">
        <is>
          <t>Нийт (Total — must equal the headline growth)</t>
        </is>
      </c>
      <c r="B14" s="32">
        <f>SUM(B9:B13)</f>
        <v/>
      </c>
      <c r="C14" s="32">
        <f>SUM(C9:C13)</f>
        <v/>
      </c>
      <c r="D14" s="32">
        <f>C14-B14</f>
        <v/>
      </c>
      <c r="E14" s="27">
        <f>SUM(E9:E13)</f>
        <v/>
      </c>
      <c r="F14" s="29">
        <f>IFERROR(C14/B14-1,"")</f>
        <v/>
      </c>
    </row>
    <row r="15">
      <c r="A15" s="4" t="inlineStr">
        <is>
          <t>Салбарын өсөлт (Headline growth, YoY)</t>
        </is>
      </c>
      <c r="E15" s="27" t="n">
        <v>10.0677</v>
      </c>
    </row>
    <row r="17">
      <c r="A17" s="4" t="inlineStr">
        <is>
          <t>Цуваа (series for the chart)</t>
        </is>
      </c>
    </row>
    <row r="18">
      <c r="A18" s="3" t="inlineStr">
        <is>
          <t>Үе (Period)</t>
        </is>
      </c>
      <c r="B18" s="3" t="inlineStr">
        <is>
          <t>Өссөн дүн (Cumulative)</t>
        </is>
      </c>
      <c r="C18" s="3" t="inlineStr">
        <is>
          <t>Тухайн үе (Single period)</t>
        </is>
      </c>
    </row>
    <row r="19">
      <c r="A19" s="5" t="inlineStr">
        <is>
          <t>2017-01</t>
        </is>
      </c>
      <c r="B19" s="16" t="n">
        <v>879245.63</v>
      </c>
      <c r="C19" s="16" t="n">
        <v>879245.63</v>
      </c>
    </row>
    <row r="20">
      <c r="A20" s="8" t="inlineStr">
        <is>
          <t>2017-02</t>
        </is>
      </c>
      <c r="B20" s="15" t="n">
        <v>1894490.43</v>
      </c>
      <c r="C20" s="15" t="n">
        <v>1015244.8</v>
      </c>
    </row>
    <row r="21">
      <c r="A21" s="5" t="inlineStr">
        <is>
          <t>2017-03</t>
        </is>
      </c>
      <c r="B21" s="16" t="n">
        <v>2990106.99</v>
      </c>
      <c r="C21" s="16" t="n">
        <v>1095616.56</v>
      </c>
    </row>
    <row r="22">
      <c r="A22" s="8" t="inlineStr">
        <is>
          <t>2017-04</t>
        </is>
      </c>
      <c r="B22" s="15" t="n">
        <v>4104048.51</v>
      </c>
      <c r="C22" s="15" t="n">
        <v>1113941.52</v>
      </c>
    </row>
    <row r="23">
      <c r="A23" s="5" t="inlineStr">
        <is>
          <t>2017-05</t>
        </is>
      </c>
      <c r="B23" s="16" t="n">
        <v>5408122.61</v>
      </c>
      <c r="C23" s="16" t="n">
        <v>1304074.1</v>
      </c>
    </row>
    <row r="24">
      <c r="A24" s="8" t="inlineStr">
        <is>
          <t>2017-06</t>
        </is>
      </c>
      <c r="B24" s="15" t="n">
        <v>6861042.31</v>
      </c>
      <c r="C24" s="15" t="n">
        <v>1452919.7</v>
      </c>
    </row>
    <row r="25">
      <c r="A25" s="5" t="inlineStr">
        <is>
          <t>2017-07</t>
        </is>
      </c>
      <c r="B25" s="16" t="n">
        <v>8190656.54</v>
      </c>
      <c r="C25" s="16" t="n">
        <v>1329614.23</v>
      </c>
    </row>
    <row r="26">
      <c r="A26" s="8" t="inlineStr">
        <is>
          <t>2017-08</t>
        </is>
      </c>
      <c r="B26" s="15" t="n">
        <v>9582407.77</v>
      </c>
      <c r="C26" s="15" t="n">
        <v>1391751.23</v>
      </c>
    </row>
    <row r="27">
      <c r="A27" s="5" t="inlineStr">
        <is>
          <t>2017-09</t>
        </is>
      </c>
      <c r="B27" s="16" t="n">
        <v>11073702.92</v>
      </c>
      <c r="C27" s="16" t="n">
        <v>1491295.15</v>
      </c>
    </row>
    <row r="28">
      <c r="A28" s="8" t="inlineStr">
        <is>
          <t>2017-10</t>
        </is>
      </c>
      <c r="B28" s="15" t="n">
        <v>12570369.92</v>
      </c>
      <c r="C28" s="15" t="n">
        <v>1496667</v>
      </c>
    </row>
    <row r="29">
      <c r="A29" s="5" t="inlineStr">
        <is>
          <t>2017-11</t>
        </is>
      </c>
      <c r="B29" s="16" t="n">
        <v>13954734.15</v>
      </c>
      <c r="C29" s="16" t="n">
        <v>1384364.23</v>
      </c>
    </row>
    <row r="30">
      <c r="A30" s="8" t="inlineStr">
        <is>
          <t>2017-12</t>
        </is>
      </c>
      <c r="B30" s="15" t="n">
        <v>15968766.22</v>
      </c>
      <c r="C30" s="15" t="n">
        <v>2014032.07</v>
      </c>
    </row>
    <row r="31">
      <c r="A31" s="5" t="inlineStr">
        <is>
          <t>2018-01</t>
        </is>
      </c>
      <c r="B31" s="16" t="n">
        <v>1327451.43</v>
      </c>
      <c r="C31" s="16" t="n">
        <v>1327451.43</v>
      </c>
    </row>
    <row r="32">
      <c r="A32" s="8" t="inlineStr">
        <is>
          <t>2018-02</t>
        </is>
      </c>
      <c r="B32" s="15" t="n">
        <v>2717240.86</v>
      </c>
      <c r="C32" s="15" t="n">
        <v>1389789.43</v>
      </c>
    </row>
    <row r="33">
      <c r="A33" s="5" t="inlineStr">
        <is>
          <t>2018-03</t>
        </is>
      </c>
      <c r="B33" s="16" t="n">
        <v>4230074.82</v>
      </c>
      <c r="C33" s="16" t="n">
        <v>1512833.96</v>
      </c>
    </row>
    <row r="34">
      <c r="A34" s="8" t="inlineStr">
        <is>
          <t>2018-04</t>
        </is>
      </c>
      <c r="B34" s="15" t="n">
        <v>5783182.77</v>
      </c>
      <c r="C34" s="15" t="n">
        <v>1553107.95</v>
      </c>
    </row>
    <row r="35">
      <c r="A35" s="5" t="inlineStr">
        <is>
          <t>2018-05</t>
        </is>
      </c>
      <c r="B35" s="16" t="n">
        <v>7722096.19</v>
      </c>
      <c r="C35" s="16" t="n">
        <v>1938913.42</v>
      </c>
    </row>
    <row r="36">
      <c r="A36" s="8" t="inlineStr">
        <is>
          <t>2018-06</t>
        </is>
      </c>
      <c r="B36" s="15" t="n">
        <v>9719443.9</v>
      </c>
      <c r="C36" s="15" t="n">
        <v>1997347.71</v>
      </c>
    </row>
    <row r="37">
      <c r="A37" s="5" t="inlineStr">
        <is>
          <t>2018-07</t>
        </is>
      </c>
      <c r="B37" s="16" t="n">
        <v>11654314.51</v>
      </c>
      <c r="C37" s="16" t="n">
        <v>1934870.61</v>
      </c>
    </row>
    <row r="38">
      <c r="A38" s="8" t="inlineStr">
        <is>
          <t>2018-08</t>
        </is>
      </c>
      <c r="B38" s="15" t="n">
        <v>13625302.4</v>
      </c>
      <c r="C38" s="15" t="n">
        <v>1970987.89</v>
      </c>
    </row>
    <row r="39">
      <c r="A39" s="5" t="inlineStr">
        <is>
          <t>2018-09</t>
        </is>
      </c>
      <c r="B39" s="16" t="n">
        <v>15634628.81</v>
      </c>
      <c r="C39" s="16" t="n">
        <v>2009326.41</v>
      </c>
    </row>
    <row r="40">
      <c r="A40" s="8" t="inlineStr">
        <is>
          <t>2018-10</t>
        </is>
      </c>
      <c r="B40" s="15" t="n">
        <v>17703880.56</v>
      </c>
      <c r="C40" s="15" t="n">
        <v>2069251.75</v>
      </c>
    </row>
    <row r="41">
      <c r="A41" s="5" t="inlineStr">
        <is>
          <t>2018-11</t>
        </is>
      </c>
      <c r="B41" s="16" t="n">
        <v>19797763.54</v>
      </c>
      <c r="C41" s="16" t="n">
        <v>2093882.98</v>
      </c>
    </row>
    <row r="42">
      <c r="A42" s="8" t="inlineStr">
        <is>
          <t>2018-12</t>
        </is>
      </c>
      <c r="B42" s="15" t="n">
        <v>22474136.89</v>
      </c>
      <c r="C42" s="15" t="n">
        <v>2676373.35</v>
      </c>
    </row>
    <row r="43">
      <c r="A43" s="5" t="inlineStr">
        <is>
          <t>2019-01</t>
        </is>
      </c>
      <c r="B43" s="16" t="n">
        <v>1759287.05</v>
      </c>
      <c r="C43" s="16" t="n">
        <v>1759287.05</v>
      </c>
    </row>
    <row r="44">
      <c r="A44" s="8" t="inlineStr">
        <is>
          <t>2019-02</t>
        </is>
      </c>
      <c r="B44" s="15" t="n">
        <v>3300700.28</v>
      </c>
      <c r="C44" s="15" t="n">
        <v>1541413.23</v>
      </c>
    </row>
    <row r="45">
      <c r="A45" s="5" t="inlineStr">
        <is>
          <t>2019-03</t>
        </is>
      </c>
      <c r="B45" s="16" t="n">
        <v>5184120.63</v>
      </c>
      <c r="C45" s="16" t="n">
        <v>1883420.35</v>
      </c>
    </row>
    <row r="46">
      <c r="A46" s="8" t="inlineStr">
        <is>
          <t>2019-04</t>
        </is>
      </c>
      <c r="B46" s="15" t="n">
        <v>7235298.19</v>
      </c>
      <c r="C46" s="15" t="n">
        <v>2051177.56</v>
      </c>
    </row>
    <row r="47">
      <c r="A47" s="5" t="inlineStr">
        <is>
          <t>2019-05</t>
        </is>
      </c>
      <c r="B47" s="16" t="n">
        <v>9393915.74</v>
      </c>
      <c r="C47" s="16" t="n">
        <v>2158617.55</v>
      </c>
    </row>
    <row r="48">
      <c r="A48" s="8" t="inlineStr">
        <is>
          <t>2019-06</t>
        </is>
      </c>
      <c r="B48" s="15" t="n">
        <v>11742828.61</v>
      </c>
      <c r="C48" s="15" t="n">
        <v>2348912.87</v>
      </c>
    </row>
    <row r="49">
      <c r="A49" s="5" t="inlineStr">
        <is>
          <t>2019-07</t>
        </is>
      </c>
      <c r="B49" s="16" t="n">
        <v>13967813.15</v>
      </c>
      <c r="C49" s="16" t="n">
        <v>2224984.54</v>
      </c>
    </row>
    <row r="50">
      <c r="A50" s="8" t="inlineStr">
        <is>
          <t>2019-08</t>
        </is>
      </c>
      <c r="B50" s="15" t="n">
        <v>16188577.53</v>
      </c>
      <c r="C50" s="15" t="n">
        <v>2220764.38</v>
      </c>
    </row>
    <row r="51">
      <c r="A51" s="5" t="inlineStr">
        <is>
          <t>2019-09</t>
        </is>
      </c>
      <c r="B51" s="16" t="n">
        <v>18411138.25</v>
      </c>
      <c r="C51" s="16" t="n">
        <v>2222560.72</v>
      </c>
    </row>
    <row r="52">
      <c r="A52" s="8" t="inlineStr">
        <is>
          <t>2019-10</t>
        </is>
      </c>
      <c r="B52" s="15" t="n">
        <v>20711258.31</v>
      </c>
      <c r="C52" s="15" t="n">
        <v>2300120.06</v>
      </c>
    </row>
    <row r="53">
      <c r="A53" s="5" t="inlineStr">
        <is>
          <t>2019-11</t>
        </is>
      </c>
      <c r="B53" s="16" t="n">
        <v>22821924.8</v>
      </c>
      <c r="C53" s="16" t="n">
        <v>2110666.49</v>
      </c>
    </row>
    <row r="54">
      <c r="A54" s="8" t="inlineStr">
        <is>
          <t>2019-12</t>
        </is>
      </c>
      <c r="B54" s="15" t="n">
        <v>26050588.51</v>
      </c>
      <c r="C54" s="15" t="n">
        <v>3228663.71</v>
      </c>
    </row>
    <row r="55">
      <c r="A55" s="5" t="inlineStr">
        <is>
          <t>2020-01</t>
        </is>
      </c>
      <c r="B55" s="16" t="n">
        <v>1772614.43</v>
      </c>
      <c r="C55" s="16" t="n">
        <v>1772614.43</v>
      </c>
    </row>
    <row r="56">
      <c r="A56" s="8" t="inlineStr">
        <is>
          <t>2020-02</t>
        </is>
      </c>
      <c r="B56" s="15" t="n">
        <v>3452659.87</v>
      </c>
      <c r="C56" s="15" t="n">
        <v>1680045.44</v>
      </c>
    </row>
    <row r="57">
      <c r="A57" s="5" t="inlineStr">
        <is>
          <t>2020-03</t>
        </is>
      </c>
      <c r="B57" s="16" t="n">
        <v>5216665.6</v>
      </c>
      <c r="C57" s="16" t="n">
        <v>1764005.73</v>
      </c>
    </row>
    <row r="58">
      <c r="A58" s="8" t="inlineStr">
        <is>
          <t>2020-04</t>
        </is>
      </c>
      <c r="B58" s="15" t="n">
        <v>6927603.61</v>
      </c>
      <c r="C58" s="15" t="n">
        <v>1710938.01</v>
      </c>
    </row>
    <row r="59">
      <c r="A59" s="5" t="inlineStr">
        <is>
          <t>2020-05</t>
        </is>
      </c>
      <c r="B59" s="16" t="n">
        <v>8802677.77</v>
      </c>
      <c r="C59" s="16" t="n">
        <v>1875074.16</v>
      </c>
    </row>
    <row r="60">
      <c r="A60" s="8" t="inlineStr">
        <is>
          <t>2020-06</t>
        </is>
      </c>
      <c r="B60" s="15" t="n">
        <v>11194108.21</v>
      </c>
      <c r="C60" s="15" t="n">
        <v>2391430.44</v>
      </c>
    </row>
    <row r="61">
      <c r="A61" s="5" t="inlineStr">
        <is>
          <t>2020-07</t>
        </is>
      </c>
      <c r="B61" s="16" t="n">
        <v>13355474.15</v>
      </c>
      <c r="C61" s="16" t="n">
        <v>2161365.94</v>
      </c>
    </row>
    <row r="62">
      <c r="A62" s="8" t="inlineStr">
        <is>
          <t>2020-08</t>
        </is>
      </c>
      <c r="B62" s="15" t="n">
        <v>15483209.02</v>
      </c>
      <c r="C62" s="15" t="n">
        <v>2127734.87</v>
      </c>
    </row>
    <row r="63">
      <c r="A63" s="5" t="inlineStr">
        <is>
          <t>2020-09</t>
        </is>
      </c>
      <c r="B63" s="16" t="n">
        <v>17818925.96</v>
      </c>
      <c r="C63" s="16" t="n">
        <v>2335716.94</v>
      </c>
    </row>
    <row r="64">
      <c r="A64" s="8" t="inlineStr">
        <is>
          <t>2020-10</t>
        </is>
      </c>
      <c r="B64" s="15" t="n">
        <v>20263791.53</v>
      </c>
      <c r="C64" s="15" t="n">
        <v>2444865.57</v>
      </c>
    </row>
    <row r="65">
      <c r="A65" s="5" t="inlineStr">
        <is>
          <t>2020-11</t>
        </is>
      </c>
      <c r="B65" s="16" t="n">
        <v>22285166.17</v>
      </c>
      <c r="C65" s="16" t="n">
        <v>2021374.64</v>
      </c>
    </row>
    <row r="66">
      <c r="A66" s="8" t="inlineStr">
        <is>
          <t>2020-12</t>
        </is>
      </c>
      <c r="B66" s="15" t="n">
        <v>25463116.55</v>
      </c>
      <c r="C66" s="15" t="n">
        <v>3177950.38</v>
      </c>
    </row>
    <row r="67">
      <c r="A67" s="5" t="inlineStr">
        <is>
          <t>2021-01</t>
        </is>
      </c>
      <c r="B67" s="16" t="n">
        <v>2097729.68</v>
      </c>
      <c r="C67" s="16" t="n">
        <v>2097729.68</v>
      </c>
    </row>
    <row r="68">
      <c r="A68" s="8" t="inlineStr">
        <is>
          <t>2021-02</t>
        </is>
      </c>
      <c r="B68" s="15" t="n">
        <v>4060447.8</v>
      </c>
      <c r="C68" s="15" t="n">
        <v>1962718.12</v>
      </c>
    </row>
    <row r="69">
      <c r="A69" s="5" t="inlineStr">
        <is>
          <t>2021-03</t>
        </is>
      </c>
      <c r="B69" s="16" t="n">
        <v>6556039.84</v>
      </c>
      <c r="C69" s="16" t="n">
        <v>2495592.04</v>
      </c>
    </row>
    <row r="70">
      <c r="A70" s="8" t="inlineStr">
        <is>
          <t>2021-04</t>
        </is>
      </c>
      <c r="B70" s="15" t="n">
        <v>8633204.17</v>
      </c>
      <c r="C70" s="15" t="n">
        <v>2077164.33</v>
      </c>
    </row>
    <row r="71">
      <c r="A71" s="5" t="inlineStr">
        <is>
          <t>2021-05</t>
        </is>
      </c>
      <c r="B71" s="16" t="n">
        <v>11409847.39</v>
      </c>
      <c r="C71" s="16" t="n">
        <v>2776643.22</v>
      </c>
    </row>
    <row r="72">
      <c r="A72" s="8" t="inlineStr">
        <is>
          <t>2021-06</t>
        </is>
      </c>
      <c r="B72" s="15" t="n">
        <v>14536769.87</v>
      </c>
      <c r="C72" s="15" t="n">
        <v>3126922.48</v>
      </c>
    </row>
    <row r="73">
      <c r="A73" s="5" t="inlineStr">
        <is>
          <t>2021-07</t>
        </is>
      </c>
      <c r="B73" s="16" t="n">
        <v>17423601.33</v>
      </c>
      <c r="C73" s="16" t="n">
        <v>2886831.46</v>
      </c>
    </row>
    <row r="74">
      <c r="A74" s="8" t="inlineStr">
        <is>
          <t>2021-08</t>
        </is>
      </c>
      <c r="B74" s="15" t="n">
        <v>20427460.61</v>
      </c>
      <c r="C74" s="15" t="n">
        <v>3003859.28</v>
      </c>
    </row>
    <row r="75">
      <c r="A75" s="5" t="inlineStr">
        <is>
          <t>2021-09</t>
        </is>
      </c>
      <c r="B75" s="16" t="n">
        <v>23501648.89</v>
      </c>
      <c r="C75" s="16" t="n">
        <v>3074188.28</v>
      </c>
    </row>
    <row r="76">
      <c r="A76" s="8" t="inlineStr">
        <is>
          <t>2021-10</t>
        </is>
      </c>
      <c r="B76" s="15" t="n">
        <v>26636794.96</v>
      </c>
      <c r="C76" s="15" t="n">
        <v>3135146.07</v>
      </c>
    </row>
    <row r="77">
      <c r="A77" s="5" t="inlineStr">
        <is>
          <t>2021-11</t>
        </is>
      </c>
      <c r="B77" s="16" t="n">
        <v>29928918.88</v>
      </c>
      <c r="C77" s="16" t="n">
        <v>3292123.92</v>
      </c>
    </row>
    <row r="78">
      <c r="A78" s="8" t="inlineStr">
        <is>
          <t>2021-12</t>
        </is>
      </c>
      <c r="B78" s="15" t="n">
        <v>34680724.41</v>
      </c>
      <c r="C78" s="15" t="n">
        <v>4751805.53</v>
      </c>
    </row>
    <row r="79">
      <c r="A79" s="5" t="inlineStr">
        <is>
          <t>2022-01</t>
        </is>
      </c>
      <c r="B79" s="16" t="n">
        <v>2960124.7</v>
      </c>
      <c r="C79" s="16" t="n">
        <v>2960124.7</v>
      </c>
    </row>
    <row r="80">
      <c r="A80" s="8" t="inlineStr">
        <is>
          <t>2022-02</t>
        </is>
      </c>
      <c r="B80" s="15" t="n">
        <v>5438028.69</v>
      </c>
      <c r="C80" s="15" t="n">
        <v>2477903.99</v>
      </c>
    </row>
    <row r="81">
      <c r="A81" s="5" t="inlineStr">
        <is>
          <t>2022-03</t>
        </is>
      </c>
      <c r="B81" s="16" t="n">
        <v>8866674.98</v>
      </c>
      <c r="C81" s="16" t="n">
        <v>3428646.29</v>
      </c>
    </row>
    <row r="82">
      <c r="A82" s="8" t="inlineStr">
        <is>
          <t>2022-04</t>
        </is>
      </c>
      <c r="B82" s="15" t="n">
        <v>12176411.52</v>
      </c>
      <c r="C82" s="15" t="n">
        <v>3309736.54</v>
      </c>
    </row>
    <row r="83">
      <c r="A83" s="5" t="inlineStr">
        <is>
          <t>2022-05</t>
        </is>
      </c>
      <c r="B83" s="16" t="n">
        <v>16098424.68</v>
      </c>
      <c r="C83" s="16" t="n">
        <v>3922013.16</v>
      </c>
    </row>
    <row r="84">
      <c r="A84" s="8" t="inlineStr">
        <is>
          <t>2022-06</t>
        </is>
      </c>
      <c r="B84" s="15" t="n">
        <v>20762880.82</v>
      </c>
      <c r="C84" s="15" t="n">
        <v>4664456.14</v>
      </c>
    </row>
    <row r="85">
      <c r="A85" s="5" t="inlineStr">
        <is>
          <t>2022-07</t>
        </is>
      </c>
      <c r="B85" s="16" t="n">
        <v>24555449.4</v>
      </c>
      <c r="C85" s="16" t="n">
        <v>3792568.58</v>
      </c>
    </row>
    <row r="86">
      <c r="A86" s="8" t="inlineStr">
        <is>
          <t>2022-08</t>
        </is>
      </c>
      <c r="B86" s="15" t="n">
        <v>28732631.04</v>
      </c>
      <c r="C86" s="15" t="n">
        <v>4177181.64</v>
      </c>
    </row>
    <row r="87">
      <c r="A87" s="5" t="inlineStr">
        <is>
          <t>2022-09</t>
        </is>
      </c>
      <c r="B87" s="16" t="n">
        <v>33013631.06</v>
      </c>
      <c r="C87" s="16" t="n">
        <v>4281000.02</v>
      </c>
    </row>
    <row r="88">
      <c r="A88" s="8" t="inlineStr">
        <is>
          <t>2022-10</t>
        </is>
      </c>
      <c r="B88" s="15" t="n">
        <v>37359566.43</v>
      </c>
      <c r="C88" s="15" t="n">
        <v>4345935.37</v>
      </c>
    </row>
    <row r="89">
      <c r="A89" s="5" t="inlineStr">
        <is>
          <t>2022-11</t>
        </is>
      </c>
      <c r="B89" s="16" t="n">
        <v>41634672.43</v>
      </c>
      <c r="C89" s="16" t="n">
        <v>4275106</v>
      </c>
    </row>
    <row r="90">
      <c r="A90" s="8" t="inlineStr">
        <is>
          <t>2022-12</t>
        </is>
      </c>
      <c r="B90" s="15" t="n">
        <v>47795917.52</v>
      </c>
      <c r="C90" s="15" t="n">
        <v>6161245.09</v>
      </c>
    </row>
    <row r="91">
      <c r="A91" s="5" t="inlineStr">
        <is>
          <t>2023-01</t>
        </is>
      </c>
      <c r="B91" s="16" t="n">
        <v>3759432.71</v>
      </c>
      <c r="C91" s="16" t="n">
        <v>3759432.71</v>
      </c>
    </row>
    <row r="92">
      <c r="A92" s="8" t="inlineStr">
        <is>
          <t>2023-02</t>
        </is>
      </c>
      <c r="B92" s="15" t="n">
        <v>7367828.34</v>
      </c>
      <c r="C92" s="15" t="n">
        <v>3608395.63</v>
      </c>
    </row>
    <row r="93">
      <c r="A93" s="5" t="inlineStr">
        <is>
          <t>2023-03</t>
        </is>
      </c>
      <c r="B93" s="16" t="n">
        <v>11654915.2</v>
      </c>
      <c r="C93" s="16" t="n">
        <v>4287086.86</v>
      </c>
    </row>
    <row r="94">
      <c r="A94" s="8" t="inlineStr">
        <is>
          <t>2023-04</t>
        </is>
      </c>
      <c r="B94" s="15" t="n">
        <v>15847738.84</v>
      </c>
      <c r="C94" s="15" t="n">
        <v>4192823.64</v>
      </c>
    </row>
    <row r="95">
      <c r="A95" s="5" t="inlineStr">
        <is>
          <t>2023-05</t>
        </is>
      </c>
      <c r="B95" s="16" t="n">
        <v>20664067.63</v>
      </c>
      <c r="C95" s="16" t="n">
        <v>4816328.79</v>
      </c>
    </row>
    <row r="96">
      <c r="A96" s="8" t="inlineStr">
        <is>
          <t>2023-06</t>
        </is>
      </c>
      <c r="B96" s="15" t="n">
        <v>26242506.91</v>
      </c>
      <c r="C96" s="15" t="n">
        <v>5578439.28</v>
      </c>
    </row>
    <row r="97">
      <c r="A97" s="5" t="inlineStr">
        <is>
          <t>2023-07</t>
        </is>
      </c>
      <c r="B97" s="16" t="n">
        <v>31033608.58</v>
      </c>
      <c r="C97" s="16" t="n">
        <v>4791101.67</v>
      </c>
    </row>
    <row r="98">
      <c r="A98" s="8" t="inlineStr">
        <is>
          <t>2023-08</t>
        </is>
      </c>
      <c r="B98" s="15" t="n">
        <v>36248261.5</v>
      </c>
      <c r="C98" s="15" t="n">
        <v>5214652.92</v>
      </c>
    </row>
    <row r="99">
      <c r="A99" s="5" t="inlineStr">
        <is>
          <t>2023-09</t>
        </is>
      </c>
      <c r="B99" s="16" t="n">
        <v>41051182.27</v>
      </c>
      <c r="C99" s="16" t="n">
        <v>4802920.77</v>
      </c>
    </row>
    <row r="100">
      <c r="A100" s="8" t="inlineStr">
        <is>
          <t>2023-10</t>
        </is>
      </c>
      <c r="B100" s="15" t="n">
        <v>46284924.98</v>
      </c>
      <c r="C100" s="15" t="n">
        <v>5233742.71</v>
      </c>
    </row>
    <row r="101">
      <c r="A101" s="5" t="inlineStr">
        <is>
          <t>2023-11</t>
        </is>
      </c>
      <c r="B101" s="16" t="n">
        <v>51428100.46</v>
      </c>
      <c r="C101" s="16" t="n">
        <v>5143175.48</v>
      </c>
    </row>
    <row r="102">
      <c r="A102" s="8" t="inlineStr">
        <is>
          <t>2023-12</t>
        </is>
      </c>
      <c r="B102" s="15" t="n">
        <v>58919647.62</v>
      </c>
      <c r="C102" s="15" t="n">
        <v>7491547.16</v>
      </c>
    </row>
    <row r="103">
      <c r="A103" s="5" t="inlineStr">
        <is>
          <t>2024-01</t>
        </is>
      </c>
      <c r="B103" s="16" t="n">
        <v>4636500.83</v>
      </c>
      <c r="C103" s="16" t="n">
        <v>4636500.83</v>
      </c>
    </row>
    <row r="104">
      <c r="A104" s="8" t="inlineStr">
        <is>
          <t>2024-02</t>
        </is>
      </c>
      <c r="B104" s="15" t="n">
        <v>8881656.699999999</v>
      </c>
      <c r="C104" s="15" t="n">
        <v>4245155.87</v>
      </c>
    </row>
    <row r="105">
      <c r="A105" s="5" t="inlineStr">
        <is>
          <t>2024-03</t>
        </is>
      </c>
      <c r="B105" s="16" t="n">
        <v>13853652.28</v>
      </c>
      <c r="C105" s="16" t="n">
        <v>4971995.58</v>
      </c>
    </row>
    <row r="106">
      <c r="A106" s="8" t="inlineStr">
        <is>
          <t>2024-04</t>
        </is>
      </c>
      <c r="B106" s="15" t="n">
        <v>19060770.21</v>
      </c>
      <c r="C106" s="15" t="n">
        <v>5207117.93</v>
      </c>
    </row>
    <row r="107">
      <c r="A107" s="5" t="inlineStr">
        <is>
          <t>2024-05</t>
        </is>
      </c>
      <c r="B107" s="16" t="n">
        <v>24697521.02</v>
      </c>
      <c r="C107" s="16" t="n">
        <v>5636750.81</v>
      </c>
    </row>
    <row r="108">
      <c r="A108" s="8" t="inlineStr">
        <is>
          <t>2024-06</t>
        </is>
      </c>
      <c r="B108" s="15" t="n">
        <v>30528845.45</v>
      </c>
      <c r="C108" s="15" t="n">
        <v>5831324.43</v>
      </c>
    </row>
    <row r="109">
      <c r="A109" s="5" t="inlineStr">
        <is>
          <t>2024-07</t>
        </is>
      </c>
      <c r="B109" s="16" t="n">
        <v>36172139.62</v>
      </c>
      <c r="C109" s="16" t="n">
        <v>5643294.17</v>
      </c>
    </row>
    <row r="110">
      <c r="A110" s="8" t="inlineStr">
        <is>
          <t>2024-08</t>
        </is>
      </c>
      <c r="B110" s="15" t="n">
        <v>41680751.42</v>
      </c>
      <c r="C110" s="15" t="n">
        <v>5508611.8</v>
      </c>
    </row>
    <row r="111">
      <c r="A111" s="5" t="inlineStr">
        <is>
          <t>2024-09</t>
        </is>
      </c>
      <c r="B111" s="16" t="n">
        <v>47427421.46</v>
      </c>
      <c r="C111" s="16" t="n">
        <v>5746670.04</v>
      </c>
    </row>
    <row r="112">
      <c r="A112" s="8" t="inlineStr">
        <is>
          <t>2024-10</t>
        </is>
      </c>
      <c r="B112" s="15" t="n">
        <v>53200062.13</v>
      </c>
      <c r="C112" s="15" t="n">
        <v>5772640.67</v>
      </c>
    </row>
    <row r="113">
      <c r="A113" s="5" t="inlineStr">
        <is>
          <t>2024-11</t>
        </is>
      </c>
      <c r="B113" s="16" t="n">
        <v>58599576.25</v>
      </c>
      <c r="C113" s="16" t="n">
        <v>5399514.12</v>
      </c>
    </row>
    <row r="114">
      <c r="A114" s="8" t="inlineStr">
        <is>
          <t>2024-12</t>
        </is>
      </c>
      <c r="B114" s="15" t="n">
        <v>66899958.65</v>
      </c>
      <c r="C114" s="15" t="n">
        <v>8300382.4</v>
      </c>
    </row>
    <row r="115">
      <c r="A115" s="5" t="inlineStr">
        <is>
          <t>2025-01</t>
        </is>
      </c>
      <c r="B115" s="16" t="n">
        <v>4614839.69</v>
      </c>
      <c r="C115" s="16" t="n">
        <v>4614839.69</v>
      </c>
    </row>
    <row r="116">
      <c r="A116" s="8" t="inlineStr">
        <is>
          <t>2025-02</t>
        </is>
      </c>
      <c r="B116" s="15" t="n">
        <v>9505472.810000001</v>
      </c>
      <c r="C116" s="15" t="n">
        <v>4890633.12</v>
      </c>
    </row>
    <row r="117">
      <c r="A117" s="5" t="inlineStr">
        <is>
          <t>2025-03</t>
        </is>
      </c>
      <c r="B117" s="16" t="n">
        <v>14078586.65</v>
      </c>
      <c r="C117" s="16" t="n">
        <v>4573113.84</v>
      </c>
    </row>
    <row r="118">
      <c r="A118" s="8" t="inlineStr">
        <is>
          <t>2025-04</t>
        </is>
      </c>
      <c r="B118" s="15" t="n">
        <v>19078176.63</v>
      </c>
      <c r="C118" s="15" t="n">
        <v>4999589.98</v>
      </c>
    </row>
    <row r="119">
      <c r="A119" s="5" t="inlineStr">
        <is>
          <t>2025-05</t>
        </is>
      </c>
      <c r="B119" s="16" t="n">
        <v>24640226</v>
      </c>
      <c r="C119" s="16" t="n">
        <v>5562049.37</v>
      </c>
    </row>
    <row r="120">
      <c r="A120" s="8" t="inlineStr">
        <is>
          <t>2025-06</t>
        </is>
      </c>
      <c r="B120" s="15" t="n">
        <v>30720541.49</v>
      </c>
      <c r="C120" s="15" t="n">
        <v>6080315.49</v>
      </c>
    </row>
    <row r="121">
      <c r="A121" s="5" t="inlineStr">
        <is>
          <t>2025-07</t>
        </is>
      </c>
      <c r="B121" s="16" t="n">
        <v>36613044.18</v>
      </c>
      <c r="C121" s="16" t="n">
        <v>5892502.69</v>
      </c>
    </row>
    <row r="122">
      <c r="A122" s="8" t="inlineStr">
        <is>
          <t>2025-08</t>
        </is>
      </c>
      <c r="B122" s="15" t="n">
        <v>42449847.67</v>
      </c>
      <c r="C122" s="15" t="n">
        <v>5836803.49</v>
      </c>
    </row>
    <row r="123">
      <c r="A123" s="5" t="inlineStr">
        <is>
          <t>2025-09</t>
        </is>
      </c>
      <c r="B123" s="16" t="n">
        <v>48433096.07</v>
      </c>
      <c r="C123" s="16" t="n">
        <v>5983248.4</v>
      </c>
    </row>
    <row r="124">
      <c r="A124" s="8" t="inlineStr">
        <is>
          <t>2025-10</t>
        </is>
      </c>
      <c r="B124" s="15" t="n">
        <v>54389976.66</v>
      </c>
      <c r="C124" s="15" t="n">
        <v>5956880.59</v>
      </c>
    </row>
    <row r="125">
      <c r="A125" s="5" t="inlineStr">
        <is>
          <t>2025-11</t>
        </is>
      </c>
      <c r="B125" s="16" t="n">
        <v>59994832.83</v>
      </c>
      <c r="C125" s="16" t="n">
        <v>5604856.17</v>
      </c>
    </row>
    <row r="126">
      <c r="A126" s="8" t="inlineStr">
        <is>
          <t>2025-12</t>
        </is>
      </c>
      <c r="B126" s="15" t="n">
        <v>68855037.18000001</v>
      </c>
      <c r="C126" s="15" t="n">
        <v>8860204.35</v>
      </c>
    </row>
    <row r="127">
      <c r="A127" s="5" t="inlineStr">
        <is>
          <t>2026-01</t>
        </is>
      </c>
      <c r="B127" s="16" t="n">
        <v>4822331.72</v>
      </c>
      <c r="C127" s="16" t="n">
        <v>4822331.72</v>
      </c>
    </row>
    <row r="128">
      <c r="A128" s="8" t="inlineStr">
        <is>
          <t>2026-02</t>
        </is>
      </c>
      <c r="B128" s="15" t="n">
        <v>9644009.35</v>
      </c>
      <c r="C128" s="15" t="n">
        <v>4821677.63</v>
      </c>
    </row>
    <row r="129">
      <c r="A129" s="5" t="inlineStr">
        <is>
          <t>2026-03</t>
        </is>
      </c>
      <c r="B129" s="16" t="n">
        <v>14949195.17</v>
      </c>
      <c r="C129" s="16" t="n">
        <v>5305185.82</v>
      </c>
    </row>
    <row r="130">
      <c r="A130" s="8" t="inlineStr">
        <is>
          <t>2026-04</t>
        </is>
      </c>
      <c r="B130" s="15" t="n">
        <v>20947926.05</v>
      </c>
      <c r="C130" s="15" t="n">
        <v>5998730.88</v>
      </c>
    </row>
    <row r="131">
      <c r="A131" s="5" t="inlineStr">
        <is>
          <t>2026-05</t>
        </is>
      </c>
      <c r="B131" s="16" t="n">
        <v>26985702.78</v>
      </c>
      <c r="C131" s="16" t="n">
        <v>6037776.73</v>
      </c>
    </row>
    <row r="132">
      <c r="A132" s="8" t="inlineStr">
        <is>
          <t>2026-06</t>
        </is>
      </c>
      <c r="B132" s="15" t="n">
        <v>33813378.09</v>
      </c>
      <c r="C132" s="15" t="n">
        <v>6827675.31</v>
      </c>
    </row>
    <row r="135">
      <c r="A135" s="4" t="inlineStr">
        <is>
          <t>Зочид буудлын салбарын орлого — 2026-06</t>
        </is>
      </c>
    </row>
    <row r="136">
      <c r="A136" s="5" t="inlineStr">
        <is>
          <t>Сараар, өссөн дүнгээр   ·   нийт 154,326.1 сая төг   ·   өмнөх оны мөн үе 137,447.4</t>
        </is>
      </c>
    </row>
    <row r="137">
      <c r="A137" s="3" t="inlineStr">
        <is>
          <t>Бүрэлдэхүүн (Component)</t>
        </is>
      </c>
      <c r="B137" s="3" t="inlineStr">
        <is>
          <t>Өмнөх он (Prev, cum.)</t>
        </is>
      </c>
      <c r="C137" s="3" t="inlineStr">
        <is>
          <t>Тайлант он (Cur, cum.)</t>
        </is>
      </c>
      <c r="D137" s="3" t="inlineStr">
        <is>
          <t>Өөрчлөлт (Change)</t>
        </is>
      </c>
      <c r="E137" s="3" t="inlineStr">
        <is>
          <t>Хувь нэмэр (Contribution, pp)</t>
        </is>
      </c>
      <c r="F137" s="3" t="inlineStr">
        <is>
          <t>Жилийн өсөлт (YoY)</t>
        </is>
      </c>
    </row>
    <row r="138">
      <c r="A138" s="5" t="inlineStr">
        <is>
          <t>Улаанбаатар</t>
        </is>
      </c>
      <c r="B138" s="16" t="n">
        <v>99800.02</v>
      </c>
      <c r="C138" s="16" t="n">
        <v>112244.2</v>
      </c>
      <c r="D138" s="16">
        <f>C138-B138</f>
        <v/>
      </c>
      <c r="E138" s="25" t="n">
        <v>9.053774000000001</v>
      </c>
      <c r="F138" s="14" t="n">
        <v>0.1247</v>
      </c>
    </row>
    <row r="139">
      <c r="A139" s="8" t="inlineStr">
        <is>
          <t>Төвийн бүс</t>
        </is>
      </c>
      <c r="B139" s="15" t="n">
        <v>13794.73</v>
      </c>
      <c r="C139" s="15" t="n">
        <v>15787.48</v>
      </c>
      <c r="D139" s="15">
        <f>C139-B139</f>
        <v/>
      </c>
      <c r="E139" s="26" t="n">
        <v>1.449827</v>
      </c>
      <c r="F139" s="13" t="n">
        <v>0.1445</v>
      </c>
    </row>
    <row r="140">
      <c r="A140" s="5" t="inlineStr">
        <is>
          <t>Хангайн бүс</t>
        </is>
      </c>
      <c r="B140" s="16" t="n">
        <v>14970.15</v>
      </c>
      <c r="C140" s="16" t="n">
        <v>16544.05</v>
      </c>
      <c r="D140" s="16">
        <f>C140-B140</f>
        <v/>
      </c>
      <c r="E140" s="25" t="n">
        <v>1.145092</v>
      </c>
      <c r="F140" s="14" t="n">
        <v>0.1051</v>
      </c>
    </row>
    <row r="141">
      <c r="A141" s="8" t="inlineStr">
        <is>
          <t>Зүүн бүс</t>
        </is>
      </c>
      <c r="B141" s="15" t="n">
        <v>3779.99</v>
      </c>
      <c r="C141" s="15" t="n">
        <v>4305.16</v>
      </c>
      <c r="D141" s="15">
        <f>C141-B141</f>
        <v/>
      </c>
      <c r="E141" s="26" t="n">
        <v>0.382088</v>
      </c>
      <c r="F141" s="13" t="n">
        <v>0.1389</v>
      </c>
    </row>
    <row r="142">
      <c r="A142" s="5" t="inlineStr">
        <is>
          <t>Баруун бүс</t>
        </is>
      </c>
      <c r="B142" s="16" t="n">
        <v>5102.55</v>
      </c>
      <c r="C142" s="16" t="n">
        <v>5445.2</v>
      </c>
      <c r="D142" s="16">
        <f>C142-B142</f>
        <v/>
      </c>
      <c r="E142" s="25" t="n">
        <v>0.249295</v>
      </c>
      <c r="F142" s="14" t="n">
        <v>0.0672</v>
      </c>
    </row>
    <row r="143">
      <c r="A143" s="4" t="inlineStr">
        <is>
          <t>Нийт (Total — must equal the headline growth)</t>
        </is>
      </c>
      <c r="B143" s="32">
        <f>SUM(B138:B142)</f>
        <v/>
      </c>
      <c r="C143" s="32">
        <f>SUM(C138:C142)</f>
        <v/>
      </c>
      <c r="D143" s="32">
        <f>C143-B143</f>
        <v/>
      </c>
      <c r="E143" s="27">
        <f>SUM(E138:E142)</f>
        <v/>
      </c>
      <c r="F143" s="29">
        <f>IFERROR(C143/B143-1,"")</f>
        <v/>
      </c>
    </row>
    <row r="144">
      <c r="A144" s="4" t="inlineStr">
        <is>
          <t>Салбарын өсөлт (Headline growth, YoY)</t>
        </is>
      </c>
      <c r="E144" s="27" t="n">
        <v>12.2801</v>
      </c>
    </row>
    <row r="146">
      <c r="A146" s="4" t="inlineStr">
        <is>
          <t>Цуваа (series for the chart)</t>
        </is>
      </c>
    </row>
    <row r="147">
      <c r="A147" s="3" t="inlineStr">
        <is>
          <t>Үе (Period)</t>
        </is>
      </c>
      <c r="B147" s="3" t="inlineStr">
        <is>
          <t>Өссөн дүн (Cumulative)</t>
        </is>
      </c>
      <c r="C147" s="3" t="inlineStr">
        <is>
          <t>Тухайн үе (Single period)</t>
        </is>
      </c>
    </row>
    <row r="148">
      <c r="A148" s="5" t="inlineStr">
        <is>
          <t>2018-01</t>
        </is>
      </c>
      <c r="B148" s="16" t="n">
        <v>5578.91</v>
      </c>
      <c r="C148" s="16" t="n">
        <v>5578.91</v>
      </c>
    </row>
    <row r="149">
      <c r="A149" s="8" t="inlineStr">
        <is>
          <t>2018-02</t>
        </is>
      </c>
      <c r="B149" s="15" t="n">
        <v>10394.58</v>
      </c>
      <c r="C149" s="15" t="n">
        <v>4815.67</v>
      </c>
    </row>
    <row r="150">
      <c r="A150" s="5" t="inlineStr">
        <is>
          <t>2018-03</t>
        </is>
      </c>
      <c r="B150" s="16" t="n">
        <v>17997.52</v>
      </c>
      <c r="C150" s="16" t="n">
        <v>7602.94</v>
      </c>
    </row>
    <row r="151">
      <c r="A151" s="8" t="inlineStr">
        <is>
          <t>2018-04</t>
        </is>
      </c>
      <c r="B151" s="15" t="n">
        <v>25643.95</v>
      </c>
      <c r="C151" s="15" t="n">
        <v>7646.43</v>
      </c>
    </row>
    <row r="152">
      <c r="A152" s="5" t="inlineStr">
        <is>
          <t>2018-05</t>
        </is>
      </c>
      <c r="B152" s="16" t="n">
        <v>35374.64</v>
      </c>
      <c r="C152" s="16" t="n">
        <v>9730.690000000001</v>
      </c>
    </row>
    <row r="153">
      <c r="A153" s="8" t="inlineStr">
        <is>
          <t>2018-06</t>
        </is>
      </c>
      <c r="B153" s="15" t="n">
        <v>47094.1</v>
      </c>
      <c r="C153" s="15" t="n">
        <v>11719.46</v>
      </c>
    </row>
    <row r="154">
      <c r="A154" s="5" t="inlineStr">
        <is>
          <t>2018-07</t>
        </is>
      </c>
      <c r="B154" s="16" t="n">
        <v>60582.81</v>
      </c>
      <c r="C154" s="16" t="n">
        <v>13488.71</v>
      </c>
    </row>
    <row r="155">
      <c r="A155" s="8" t="inlineStr">
        <is>
          <t>2018-08</t>
        </is>
      </c>
      <c r="B155" s="15" t="n">
        <v>73822.64</v>
      </c>
      <c r="C155" s="15" t="n">
        <v>13239.83</v>
      </c>
    </row>
    <row r="156">
      <c r="A156" s="5" t="inlineStr">
        <is>
          <t>2018-09</t>
        </is>
      </c>
      <c r="B156" s="16" t="n">
        <v>87334.56</v>
      </c>
      <c r="C156" s="16" t="n">
        <v>13511.92</v>
      </c>
    </row>
    <row r="157">
      <c r="A157" s="8" t="inlineStr">
        <is>
          <t>2018-10</t>
        </is>
      </c>
      <c r="B157" s="15" t="n">
        <v>99206.95</v>
      </c>
      <c r="C157" s="15" t="n">
        <v>11872.39</v>
      </c>
    </row>
    <row r="158">
      <c r="A158" s="5" t="inlineStr">
        <is>
          <t>2018-11</t>
        </is>
      </c>
      <c r="B158" s="16" t="n">
        <v>108426.17</v>
      </c>
      <c r="C158" s="16" t="n">
        <v>9219.219999999999</v>
      </c>
    </row>
    <row r="159">
      <c r="A159" s="8" t="inlineStr">
        <is>
          <t>2018-12</t>
        </is>
      </c>
      <c r="B159" s="15" t="n">
        <v>124244.04</v>
      </c>
      <c r="C159" s="15" t="n">
        <v>15817.87</v>
      </c>
    </row>
    <row r="160">
      <c r="A160" s="5" t="inlineStr">
        <is>
          <t>2019-01</t>
        </is>
      </c>
      <c r="B160" s="16" t="n">
        <v>6847.02</v>
      </c>
      <c r="C160" s="16" t="n">
        <v>6847.02</v>
      </c>
    </row>
    <row r="161">
      <c r="A161" s="8" t="inlineStr">
        <is>
          <t>2019-02</t>
        </is>
      </c>
      <c r="B161" s="15" t="n">
        <v>13538.99</v>
      </c>
      <c r="C161" s="15" t="n">
        <v>6691.97</v>
      </c>
    </row>
    <row r="162">
      <c r="A162" s="5" t="inlineStr">
        <is>
          <t>2019-03</t>
        </is>
      </c>
      <c r="B162" s="16" t="n">
        <v>23460.79</v>
      </c>
      <c r="C162" s="16" t="n">
        <v>9921.799999999999</v>
      </c>
    </row>
    <row r="163">
      <c r="A163" s="8" t="inlineStr">
        <is>
          <t>2019-04</t>
        </is>
      </c>
      <c r="B163" s="15" t="n">
        <v>33659.52</v>
      </c>
      <c r="C163" s="15" t="n">
        <v>10198.73</v>
      </c>
    </row>
    <row r="164">
      <c r="A164" s="5" t="inlineStr">
        <is>
          <t>2019-05</t>
        </is>
      </c>
      <c r="B164" s="16" t="n">
        <v>45523.97</v>
      </c>
      <c r="C164" s="16" t="n">
        <v>11864.45</v>
      </c>
    </row>
    <row r="165">
      <c r="A165" s="8" t="inlineStr">
        <is>
          <t>2019-06</t>
        </is>
      </c>
      <c r="B165" s="15" t="n">
        <v>61143.06</v>
      </c>
      <c r="C165" s="15" t="n">
        <v>15619.09</v>
      </c>
    </row>
    <row r="166">
      <c r="A166" s="5" t="inlineStr">
        <is>
          <t>2019-07</t>
        </is>
      </c>
      <c r="B166" s="16" t="n">
        <v>77715.82000000001</v>
      </c>
      <c r="C166" s="16" t="n">
        <v>16572.76</v>
      </c>
    </row>
    <row r="167">
      <c r="A167" s="8" t="inlineStr">
        <is>
          <t>2019-08</t>
        </is>
      </c>
      <c r="B167" s="15" t="n">
        <v>94498.38</v>
      </c>
      <c r="C167" s="15" t="n">
        <v>16782.56</v>
      </c>
    </row>
    <row r="168">
      <c r="A168" s="5" t="inlineStr">
        <is>
          <t>2019-09</t>
        </is>
      </c>
      <c r="B168" s="16" t="n">
        <v>110496.51</v>
      </c>
      <c r="C168" s="16" t="n">
        <v>15998.13</v>
      </c>
    </row>
    <row r="169">
      <c r="A169" s="8" t="inlineStr">
        <is>
          <t>2019-10</t>
        </is>
      </c>
      <c r="B169" s="15" t="n">
        <v>123199.05</v>
      </c>
      <c r="C169" s="15" t="n">
        <v>12702.54</v>
      </c>
    </row>
    <row r="170">
      <c r="A170" s="5" t="inlineStr">
        <is>
          <t>2019-11</t>
        </is>
      </c>
      <c r="B170" s="16" t="n">
        <v>134176.54</v>
      </c>
      <c r="C170" s="16" t="n">
        <v>10977.49</v>
      </c>
    </row>
    <row r="171">
      <c r="A171" s="8" t="inlineStr">
        <is>
          <t>2019-12</t>
        </is>
      </c>
      <c r="B171" s="15" t="n">
        <v>152964.84</v>
      </c>
      <c r="C171" s="15" t="n">
        <v>18788.3</v>
      </c>
    </row>
    <row r="172">
      <c r="A172" s="5" t="inlineStr">
        <is>
          <t>2020-01</t>
        </is>
      </c>
      <c r="B172" s="16" t="n">
        <v>8108.55</v>
      </c>
      <c r="C172" s="16" t="n">
        <v>8108.55</v>
      </c>
    </row>
    <row r="173">
      <c r="A173" s="8" t="inlineStr">
        <is>
          <t>2020-02</t>
        </is>
      </c>
      <c r="B173" s="15" t="n">
        <v>13191.27</v>
      </c>
      <c r="C173" s="15" t="n">
        <v>5082.72</v>
      </c>
    </row>
    <row r="174">
      <c r="A174" s="5" t="inlineStr">
        <is>
          <t>2020-03</t>
        </is>
      </c>
      <c r="B174" s="16" t="n">
        <v>17439.24</v>
      </c>
      <c r="C174" s="16" t="n">
        <v>4247.97</v>
      </c>
    </row>
    <row r="175">
      <c r="A175" s="8" t="inlineStr">
        <is>
          <t>2020-04</t>
        </is>
      </c>
      <c r="B175" s="15" t="n">
        <v>21897.89</v>
      </c>
      <c r="C175" s="15" t="n">
        <v>4458.65</v>
      </c>
    </row>
    <row r="176">
      <c r="A176" s="5" t="inlineStr">
        <is>
          <t>2020-05</t>
        </is>
      </c>
      <c r="B176" s="16" t="n">
        <v>28048.21</v>
      </c>
      <c r="C176" s="16" t="n">
        <v>6150.32</v>
      </c>
    </row>
    <row r="177">
      <c r="A177" s="8" t="inlineStr">
        <is>
          <t>2020-06</t>
        </is>
      </c>
      <c r="B177" s="15" t="n">
        <v>36072.26</v>
      </c>
      <c r="C177" s="15" t="n">
        <v>8024.05</v>
      </c>
    </row>
    <row r="178">
      <c r="A178" s="5" t="inlineStr">
        <is>
          <t>2020-07</t>
        </is>
      </c>
      <c r="B178" s="16" t="n">
        <v>44427.45</v>
      </c>
      <c r="C178" s="16" t="n">
        <v>8355.190000000001</v>
      </c>
    </row>
    <row r="179">
      <c r="A179" s="8" t="inlineStr">
        <is>
          <t>2020-08</t>
        </is>
      </c>
      <c r="B179" s="15" t="n">
        <v>53706.85</v>
      </c>
      <c r="C179" s="15" t="n">
        <v>9279.4</v>
      </c>
    </row>
    <row r="180">
      <c r="A180" s="5" t="inlineStr">
        <is>
          <t>2020-09</t>
        </is>
      </c>
      <c r="B180" s="16" t="n">
        <v>63864.32</v>
      </c>
      <c r="C180" s="16" t="n">
        <v>10157.47</v>
      </c>
    </row>
    <row r="181">
      <c r="A181" s="8" t="inlineStr">
        <is>
          <t>2020-10</t>
        </is>
      </c>
      <c r="B181" s="15" t="n">
        <v>74852.49000000001</v>
      </c>
      <c r="C181" s="15" t="n">
        <v>10988.17</v>
      </c>
    </row>
    <row r="182">
      <c r="A182" s="5" t="inlineStr">
        <is>
          <t>2020-11</t>
        </is>
      </c>
      <c r="B182" s="16" t="n">
        <v>80375.78</v>
      </c>
      <c r="C182" s="16" t="n">
        <v>5523.29</v>
      </c>
    </row>
    <row r="183">
      <c r="A183" s="8" t="inlineStr">
        <is>
          <t>2020-12</t>
        </is>
      </c>
      <c r="B183" s="15" t="n">
        <v>90684.55</v>
      </c>
      <c r="C183" s="15" t="n">
        <v>10308.77</v>
      </c>
    </row>
    <row r="184">
      <c r="A184" s="5" t="inlineStr">
        <is>
          <t>2021-01</t>
        </is>
      </c>
      <c r="B184" s="16" t="n">
        <v>3897.98</v>
      </c>
      <c r="C184" s="16" t="n">
        <v>3897.98</v>
      </c>
    </row>
    <row r="185">
      <c r="A185" s="8" t="inlineStr">
        <is>
          <t>2021-02</t>
        </is>
      </c>
      <c r="B185" s="15" t="n">
        <v>8573.299999999999</v>
      </c>
      <c r="C185" s="15" t="n">
        <v>4675.32</v>
      </c>
    </row>
    <row r="186">
      <c r="A186" s="5" t="inlineStr">
        <is>
          <t>2021-03</t>
        </is>
      </c>
      <c r="B186" s="16" t="n">
        <v>16260.93</v>
      </c>
      <c r="C186" s="16" t="n">
        <v>7687.63</v>
      </c>
    </row>
    <row r="187">
      <c r="A187" s="8" t="inlineStr">
        <is>
          <t>2021-04</t>
        </is>
      </c>
      <c r="B187" s="15" t="n">
        <v>22553.09</v>
      </c>
      <c r="C187" s="15" t="n">
        <v>6292.16</v>
      </c>
    </row>
    <row r="188">
      <c r="A188" s="5" t="inlineStr">
        <is>
          <t>2021-05</t>
        </is>
      </c>
      <c r="B188" s="16" t="n">
        <v>30554.68</v>
      </c>
      <c r="C188" s="16" t="n">
        <v>8001.59</v>
      </c>
    </row>
    <row r="189">
      <c r="A189" s="8" t="inlineStr">
        <is>
          <t>2021-06</t>
        </is>
      </c>
      <c r="B189" s="15" t="n">
        <v>39264.53</v>
      </c>
      <c r="C189" s="15" t="n">
        <v>8709.85</v>
      </c>
    </row>
    <row r="190">
      <c r="A190" s="5" t="inlineStr">
        <is>
          <t>2021-07</t>
        </is>
      </c>
      <c r="B190" s="16" t="n">
        <v>48530.08</v>
      </c>
      <c r="C190" s="16" t="n">
        <v>9265.549999999999</v>
      </c>
    </row>
    <row r="191">
      <c r="A191" s="8" t="inlineStr">
        <is>
          <t>2021-08</t>
        </is>
      </c>
      <c r="B191" s="15" t="n">
        <v>60248.64</v>
      </c>
      <c r="C191" s="15" t="n">
        <v>11718.56</v>
      </c>
    </row>
    <row r="192">
      <c r="A192" s="5" t="inlineStr">
        <is>
          <t>2021-09</t>
        </is>
      </c>
      <c r="B192" s="16" t="n">
        <v>72082.33</v>
      </c>
      <c r="C192" s="16" t="n">
        <v>11833.69</v>
      </c>
    </row>
    <row r="193">
      <c r="A193" s="8" t="inlineStr">
        <is>
          <t>2021-10</t>
        </is>
      </c>
      <c r="B193" s="15" t="n">
        <v>84842.83</v>
      </c>
      <c r="C193" s="15" t="n">
        <v>12760.5</v>
      </c>
    </row>
    <row r="194">
      <c r="A194" s="5" t="inlineStr">
        <is>
          <t>2021-11</t>
        </is>
      </c>
      <c r="B194" s="16" t="n">
        <v>98112.19</v>
      </c>
      <c r="C194" s="16" t="n">
        <v>13269.36</v>
      </c>
    </row>
    <row r="195">
      <c r="A195" s="8" t="inlineStr">
        <is>
          <t>2021-12</t>
        </is>
      </c>
      <c r="B195" s="15" t="n">
        <v>120481.01</v>
      </c>
      <c r="C195" s="15" t="n">
        <v>22368.82</v>
      </c>
    </row>
    <row r="196">
      <c r="A196" s="5" t="inlineStr">
        <is>
          <t>2022-01</t>
        </is>
      </c>
      <c r="B196" s="16" t="n">
        <v>11478.73</v>
      </c>
      <c r="C196" s="16" t="n">
        <v>11478.73</v>
      </c>
    </row>
    <row r="197">
      <c r="A197" s="8" t="inlineStr">
        <is>
          <t>2022-02</t>
        </is>
      </c>
      <c r="B197" s="15" t="n">
        <v>20551.73</v>
      </c>
      <c r="C197" s="15" t="n">
        <v>9073</v>
      </c>
    </row>
    <row r="198">
      <c r="A198" s="5" t="inlineStr">
        <is>
          <t>2022-03</t>
        </is>
      </c>
      <c r="B198" s="16" t="n">
        <v>34311.15</v>
      </c>
      <c r="C198" s="16" t="n">
        <v>13759.42</v>
      </c>
    </row>
    <row r="199">
      <c r="A199" s="8" t="inlineStr">
        <is>
          <t>2022-04</t>
        </is>
      </c>
      <c r="B199" s="15" t="n">
        <v>47696.57</v>
      </c>
      <c r="C199" s="15" t="n">
        <v>13385.42</v>
      </c>
    </row>
    <row r="200">
      <c r="A200" s="5" t="inlineStr">
        <is>
          <t>2022-05</t>
        </is>
      </c>
      <c r="B200" s="16" t="n">
        <v>61694.52</v>
      </c>
      <c r="C200" s="16" t="n">
        <v>13997.95</v>
      </c>
    </row>
    <row r="201">
      <c r="A201" s="8" t="inlineStr">
        <is>
          <t>2022-06</t>
        </is>
      </c>
      <c r="B201" s="15" t="n">
        <v>79625.22</v>
      </c>
      <c r="C201" s="15" t="n">
        <v>17930.7</v>
      </c>
    </row>
    <row r="202">
      <c r="A202" s="5" t="inlineStr">
        <is>
          <t>2022-07</t>
        </is>
      </c>
      <c r="B202" s="16" t="n">
        <v>96430.84</v>
      </c>
      <c r="C202" s="16" t="n">
        <v>16805.62</v>
      </c>
    </row>
    <row r="203">
      <c r="A203" s="8" t="inlineStr">
        <is>
          <t>2022-08</t>
        </is>
      </c>
      <c r="B203" s="15" t="n">
        <v>115070.18</v>
      </c>
      <c r="C203" s="15" t="n">
        <v>18639.34</v>
      </c>
    </row>
    <row r="204">
      <c r="A204" s="5" t="inlineStr">
        <is>
          <t>2022-09</t>
        </is>
      </c>
      <c r="B204" s="16" t="n">
        <v>134222.46</v>
      </c>
      <c r="C204" s="16" t="n">
        <v>19152.28</v>
      </c>
    </row>
    <row r="205">
      <c r="A205" s="8" t="inlineStr">
        <is>
          <t>2022-10</t>
        </is>
      </c>
      <c r="B205" s="15" t="n">
        <v>151211.5</v>
      </c>
      <c r="C205" s="15" t="n">
        <v>16989.04</v>
      </c>
    </row>
    <row r="206">
      <c r="A206" s="5" t="inlineStr">
        <is>
          <t>2022-11</t>
        </is>
      </c>
      <c r="B206" s="16" t="n">
        <v>166934.26</v>
      </c>
      <c r="C206" s="16" t="n">
        <v>15722.76</v>
      </c>
    </row>
    <row r="207">
      <c r="A207" s="8" t="inlineStr">
        <is>
          <t>2022-12</t>
        </is>
      </c>
      <c r="B207" s="15" t="n">
        <v>191217.9</v>
      </c>
      <c r="C207" s="15" t="n">
        <v>24283.64</v>
      </c>
    </row>
    <row r="208">
      <c r="A208" s="5" t="inlineStr">
        <is>
          <t>2023-01</t>
        </is>
      </c>
      <c r="B208" s="16" t="n">
        <v>14207.75</v>
      </c>
      <c r="C208" s="16" t="n">
        <v>14207.75</v>
      </c>
    </row>
    <row r="209">
      <c r="A209" s="8" t="inlineStr">
        <is>
          <t>2023-02</t>
        </is>
      </c>
      <c r="B209" s="15" t="n">
        <v>25624.16</v>
      </c>
      <c r="C209" s="15" t="n">
        <v>11416.41</v>
      </c>
    </row>
    <row r="210">
      <c r="A210" s="5" t="inlineStr">
        <is>
          <t>2023-03</t>
        </is>
      </c>
      <c r="B210" s="16" t="n">
        <v>42614.72</v>
      </c>
      <c r="C210" s="16" t="n">
        <v>16990.56</v>
      </c>
    </row>
    <row r="211">
      <c r="A211" s="8" t="inlineStr">
        <is>
          <t>2023-04</t>
        </is>
      </c>
      <c r="B211" s="15" t="n">
        <v>58636.46</v>
      </c>
      <c r="C211" s="15" t="n">
        <v>16021.74</v>
      </c>
    </row>
    <row r="212">
      <c r="A212" s="5" t="inlineStr">
        <is>
          <t>2023-05</t>
        </is>
      </c>
      <c r="B212" s="16" t="n">
        <v>78993.31</v>
      </c>
      <c r="C212" s="16" t="n">
        <v>20356.85</v>
      </c>
    </row>
    <row r="213">
      <c r="A213" s="8" t="inlineStr">
        <is>
          <t>2023-06</t>
        </is>
      </c>
      <c r="B213" s="15" t="n">
        <v>107150.36</v>
      </c>
      <c r="C213" s="15" t="n">
        <v>28157.05</v>
      </c>
    </row>
    <row r="214">
      <c r="A214" s="5" t="inlineStr">
        <is>
          <t>2023-07</t>
        </is>
      </c>
      <c r="B214" s="16" t="n">
        <v>134365.29</v>
      </c>
      <c r="C214" s="16" t="n">
        <v>27214.93</v>
      </c>
    </row>
    <row r="215">
      <c r="A215" s="8" t="inlineStr">
        <is>
          <t>2023-08</t>
        </is>
      </c>
      <c r="B215" s="15" t="n">
        <v>162914.92</v>
      </c>
      <c r="C215" s="15" t="n">
        <v>28549.63</v>
      </c>
    </row>
    <row r="216">
      <c r="A216" s="5" t="inlineStr">
        <is>
          <t>2023-09</t>
        </is>
      </c>
      <c r="B216" s="16" t="n">
        <v>188522.52</v>
      </c>
      <c r="C216" s="16" t="n">
        <v>25607.6</v>
      </c>
    </row>
    <row r="217">
      <c r="A217" s="8" t="inlineStr">
        <is>
          <t>2023-10</t>
        </is>
      </c>
      <c r="B217" s="15" t="n">
        <v>210797.64</v>
      </c>
      <c r="C217" s="15" t="n">
        <v>22275.12</v>
      </c>
    </row>
    <row r="218">
      <c r="A218" s="5" t="inlineStr">
        <is>
          <t>2023-11</t>
        </is>
      </c>
      <c r="B218" s="16" t="n">
        <v>231710.44</v>
      </c>
      <c r="C218" s="16" t="n">
        <v>20912.8</v>
      </c>
    </row>
    <row r="219">
      <c r="A219" s="8" t="inlineStr">
        <is>
          <t>2023-12</t>
        </is>
      </c>
      <c r="B219" s="15" t="n">
        <v>262263.78</v>
      </c>
      <c r="C219" s="15" t="n">
        <v>30553.34</v>
      </c>
    </row>
    <row r="220">
      <c r="A220" s="5" t="inlineStr">
        <is>
          <t>2024-01</t>
        </is>
      </c>
      <c r="B220" s="16" t="n">
        <v>15545.88</v>
      </c>
      <c r="C220" s="16" t="n">
        <v>15545.88</v>
      </c>
    </row>
    <row r="221">
      <c r="A221" s="8" t="inlineStr">
        <is>
          <t>2024-02</t>
        </is>
      </c>
      <c r="B221" s="15" t="n">
        <v>28438.48</v>
      </c>
      <c r="C221" s="15" t="n">
        <v>12892.6</v>
      </c>
    </row>
    <row r="222">
      <c r="A222" s="5" t="inlineStr">
        <is>
          <t>2024-03</t>
        </is>
      </c>
      <c r="B222" s="16" t="n">
        <v>46454.88</v>
      </c>
      <c r="C222" s="16" t="n">
        <v>18016.4</v>
      </c>
    </row>
    <row r="223">
      <c r="A223" s="8" t="inlineStr">
        <is>
          <t>2024-04</t>
        </is>
      </c>
      <c r="B223" s="15" t="n">
        <v>66678.7</v>
      </c>
      <c r="C223" s="15" t="n">
        <v>20223.82</v>
      </c>
    </row>
    <row r="224">
      <c r="A224" s="5" t="inlineStr">
        <is>
          <t>2024-05</t>
        </is>
      </c>
      <c r="B224" s="16" t="n">
        <v>90079.94</v>
      </c>
      <c r="C224" s="16" t="n">
        <v>23401.24</v>
      </c>
    </row>
    <row r="225">
      <c r="A225" s="8" t="inlineStr">
        <is>
          <t>2024-06</t>
        </is>
      </c>
      <c r="B225" s="15" t="n">
        <v>120132.23</v>
      </c>
      <c r="C225" s="15" t="n">
        <v>30052.29</v>
      </c>
    </row>
    <row r="226">
      <c r="A226" s="5" t="inlineStr">
        <is>
          <t>2024-07</t>
        </is>
      </c>
      <c r="B226" s="16" t="n">
        <v>152974.82</v>
      </c>
      <c r="C226" s="16" t="n">
        <v>32842.59</v>
      </c>
    </row>
    <row r="227">
      <c r="A227" s="8" t="inlineStr">
        <is>
          <t>2024-08</t>
        </is>
      </c>
      <c r="B227" s="15" t="n">
        <v>188884.37</v>
      </c>
      <c r="C227" s="15" t="n">
        <v>35909.55</v>
      </c>
    </row>
    <row r="228">
      <c r="A228" s="5" t="inlineStr">
        <is>
          <t>2024-09</t>
        </is>
      </c>
      <c r="B228" s="16" t="n">
        <v>220455.07</v>
      </c>
      <c r="C228" s="16" t="n">
        <v>31570.7</v>
      </c>
    </row>
    <row r="229">
      <c r="A229" s="8" t="inlineStr">
        <is>
          <t>2024-10</t>
        </is>
      </c>
      <c r="B229" s="15" t="n">
        <v>247317.91</v>
      </c>
      <c r="C229" s="15" t="n">
        <v>26862.84</v>
      </c>
    </row>
    <row r="230">
      <c r="A230" s="5" t="inlineStr">
        <is>
          <t>2024-11</t>
        </is>
      </c>
      <c r="B230" s="16" t="n">
        <v>269424</v>
      </c>
      <c r="C230" s="16" t="n">
        <v>22106.09</v>
      </c>
    </row>
    <row r="231">
      <c r="A231" s="8" t="inlineStr">
        <is>
          <t>2024-12</t>
        </is>
      </c>
      <c r="B231" s="15" t="n">
        <v>302192.68</v>
      </c>
      <c r="C231" s="15" t="n">
        <v>32768.68</v>
      </c>
    </row>
    <row r="232">
      <c r="A232" s="5" t="inlineStr">
        <is>
          <t>2025-01</t>
        </is>
      </c>
      <c r="B232" s="16" t="n">
        <v>15870.99</v>
      </c>
      <c r="C232" s="16" t="n">
        <v>15870.99</v>
      </c>
    </row>
    <row r="233">
      <c r="A233" s="8" t="inlineStr">
        <is>
          <t>2025-02</t>
        </is>
      </c>
      <c r="B233" s="15" t="n">
        <v>31976.33</v>
      </c>
      <c r="C233" s="15" t="n">
        <v>16105.34</v>
      </c>
    </row>
    <row r="234">
      <c r="A234" s="5" t="inlineStr">
        <is>
          <t>2025-03</t>
        </is>
      </c>
      <c r="B234" s="16" t="n">
        <v>50953.99</v>
      </c>
      <c r="C234" s="16" t="n">
        <v>18977.66</v>
      </c>
    </row>
    <row r="235">
      <c r="A235" s="8" t="inlineStr">
        <is>
          <t>2025-04</t>
        </is>
      </c>
      <c r="B235" s="15" t="n">
        <v>72268.25</v>
      </c>
      <c r="C235" s="15" t="n">
        <v>21314.26</v>
      </c>
    </row>
    <row r="236">
      <c r="A236" s="5" t="inlineStr">
        <is>
          <t>2025-05</t>
        </is>
      </c>
      <c r="B236" s="16" t="n">
        <v>96653.14999999999</v>
      </c>
      <c r="C236" s="16" t="n">
        <v>24384.9</v>
      </c>
    </row>
    <row r="237">
      <c r="A237" s="8" t="inlineStr">
        <is>
          <t>2025-06</t>
        </is>
      </c>
      <c r="B237" s="15" t="n">
        <v>137447.44</v>
      </c>
      <c r="C237" s="15" t="n">
        <v>40794.29</v>
      </c>
    </row>
    <row r="238">
      <c r="A238" s="5" t="inlineStr">
        <is>
          <t>2025-07</t>
        </is>
      </c>
      <c r="B238" s="16" t="n">
        <v>182568.07</v>
      </c>
      <c r="C238" s="16" t="n">
        <v>45120.63</v>
      </c>
    </row>
    <row r="239">
      <c r="A239" s="8" t="inlineStr">
        <is>
          <t>2025-08</t>
        </is>
      </c>
      <c r="B239" s="15" t="n">
        <v>226709.39</v>
      </c>
      <c r="C239" s="15" t="n">
        <v>44141.32</v>
      </c>
    </row>
    <row r="240">
      <c r="A240" s="5" t="inlineStr">
        <is>
          <t>2025-09</t>
        </is>
      </c>
      <c r="B240" s="16" t="n">
        <v>266606.58</v>
      </c>
      <c r="C240" s="16" t="n">
        <v>39897.19</v>
      </c>
    </row>
    <row r="241">
      <c r="A241" s="8" t="inlineStr">
        <is>
          <t>2025-10</t>
        </is>
      </c>
      <c r="B241" s="15" t="n">
        <v>298039</v>
      </c>
      <c r="C241" s="15" t="n">
        <v>31432.42</v>
      </c>
    </row>
    <row r="242">
      <c r="A242" s="5" t="inlineStr">
        <is>
          <t>2025-11</t>
        </is>
      </c>
      <c r="B242" s="16" t="n">
        <v>322439.98</v>
      </c>
      <c r="C242" s="16" t="n">
        <v>24400.98</v>
      </c>
    </row>
    <row r="243">
      <c r="A243" s="8" t="inlineStr">
        <is>
          <t>2025-12</t>
        </is>
      </c>
      <c r="B243" s="15" t="n">
        <v>352205.35</v>
      </c>
      <c r="C243" s="15" t="n">
        <v>29765.37</v>
      </c>
    </row>
    <row r="244">
      <c r="A244" s="5" t="inlineStr">
        <is>
          <t>2026-01</t>
        </is>
      </c>
      <c r="B244" s="16" t="n">
        <v>17014.39</v>
      </c>
      <c r="C244" s="16" t="n">
        <v>17014.39</v>
      </c>
    </row>
    <row r="245">
      <c r="A245" s="8" t="inlineStr">
        <is>
          <t>2026-02</t>
        </is>
      </c>
      <c r="B245" s="15" t="n">
        <v>32967.57</v>
      </c>
      <c r="C245" s="15" t="n">
        <v>15953.18</v>
      </c>
    </row>
    <row r="246">
      <c r="A246" s="5" t="inlineStr">
        <is>
          <t>2026-03</t>
        </is>
      </c>
      <c r="B246" s="16" t="n">
        <v>54696.4</v>
      </c>
      <c r="C246" s="16" t="n">
        <v>21728.83</v>
      </c>
    </row>
    <row r="247">
      <c r="A247" s="8" t="inlineStr">
        <is>
          <t>2026-04</t>
        </is>
      </c>
      <c r="B247" s="15" t="n">
        <v>79714.42999999999</v>
      </c>
      <c r="C247" s="15" t="n">
        <v>25018.03</v>
      </c>
    </row>
    <row r="248">
      <c r="A248" s="5" t="inlineStr">
        <is>
          <t>2026-05</t>
        </is>
      </c>
      <c r="B248" s="16" t="n">
        <v>107961.86</v>
      </c>
      <c r="C248" s="16" t="n">
        <v>28247.43</v>
      </c>
    </row>
    <row r="249">
      <c r="A249" s="8" t="inlineStr">
        <is>
          <t>2026-06</t>
        </is>
      </c>
      <c r="B249" s="15" t="n">
        <v>154326.1</v>
      </c>
      <c r="C249" s="15" t="n">
        <v>46364.24</v>
      </c>
    </row>
    <row r="252">
      <c r="A252" s="4" t="inlineStr">
        <is>
          <t>Нийтийн хоолны салбарын орлого — 2026-06</t>
        </is>
      </c>
    </row>
    <row r="253">
      <c r="A253" s="5" t="inlineStr">
        <is>
          <t>Сараар, өссөн дүнгээр   ·   нийт 1,072,510.2 сая төг   ·   өмнөх оны мөн үе 982,535.2</t>
        </is>
      </c>
    </row>
    <row r="254">
      <c r="A254" s="3" t="inlineStr">
        <is>
          <t>Бүрэлдэхүүн (Component)</t>
        </is>
      </c>
      <c r="B254" s="3" t="inlineStr">
        <is>
          <t>Өмнөх он (Prev, cum.)</t>
        </is>
      </c>
      <c r="C254" s="3" t="inlineStr">
        <is>
          <t>Тайлант он (Cur, cum.)</t>
        </is>
      </c>
      <c r="D254" s="3" t="inlineStr">
        <is>
          <t>Өөрчлөлт (Change)</t>
        </is>
      </c>
      <c r="E254" s="3" t="inlineStr">
        <is>
          <t>Хувь нэмэр (Contribution, pp)</t>
        </is>
      </c>
      <c r="F254" s="3" t="inlineStr">
        <is>
          <t>Жилийн өсөлт (YoY)</t>
        </is>
      </c>
    </row>
    <row r="255">
      <c r="A255" s="5" t="inlineStr">
        <is>
          <t>Улаанбаатар</t>
        </is>
      </c>
      <c r="B255" s="16" t="n">
        <v>799763.34</v>
      </c>
      <c r="C255" s="16" t="n">
        <v>876595.3199999999</v>
      </c>
      <c r="D255" s="16">
        <f>C255-B255</f>
        <v/>
      </c>
      <c r="E255" s="25" t="n">
        <v>7.819769</v>
      </c>
      <c r="F255" s="14" t="n">
        <v>0.09609999999999999</v>
      </c>
    </row>
    <row r="256">
      <c r="A256" s="8" t="inlineStr">
        <is>
          <t>Төвийн бүс</t>
        </is>
      </c>
      <c r="B256" s="15" t="n">
        <v>108442.17</v>
      </c>
      <c r="C256" s="15" t="n">
        <v>114477.26</v>
      </c>
      <c r="D256" s="15">
        <f>C256-B256</f>
        <v/>
      </c>
      <c r="E256" s="26" t="n">
        <v>0.614237</v>
      </c>
      <c r="F256" s="13" t="n">
        <v>0.0557</v>
      </c>
    </row>
    <row r="257">
      <c r="A257" s="5" t="inlineStr">
        <is>
          <t>Хангайн бүс</t>
        </is>
      </c>
      <c r="B257" s="16" t="n">
        <v>42699.47</v>
      </c>
      <c r="C257" s="16" t="n">
        <v>46846.74</v>
      </c>
      <c r="D257" s="16">
        <f>C257-B257</f>
        <v/>
      </c>
      <c r="E257" s="25" t="n">
        <v>0.422099</v>
      </c>
      <c r="F257" s="14" t="n">
        <v>0.09710000000000001</v>
      </c>
    </row>
    <row r="258">
      <c r="A258" s="8" t="inlineStr">
        <is>
          <t>Зүүн бүс</t>
        </is>
      </c>
      <c r="B258" s="15" t="n">
        <v>20610.13</v>
      </c>
      <c r="C258" s="15" t="n">
        <v>22142.98</v>
      </c>
      <c r="D258" s="15">
        <f>C258-B258</f>
        <v/>
      </c>
      <c r="E258" s="26" t="n">
        <v>0.15601</v>
      </c>
      <c r="F258" s="13" t="n">
        <v>0.07440000000000001</v>
      </c>
    </row>
    <row r="259">
      <c r="A259" s="5" t="inlineStr">
        <is>
          <t>Баруун бүс</t>
        </is>
      </c>
      <c r="B259" s="16" t="n">
        <v>11020.07</v>
      </c>
      <c r="C259" s="16" t="n">
        <v>12447.91</v>
      </c>
      <c r="D259" s="16">
        <f>C259-B259</f>
        <v/>
      </c>
      <c r="E259" s="25" t="n">
        <v>0.145322</v>
      </c>
      <c r="F259" s="14" t="n">
        <v>0.1296</v>
      </c>
    </row>
    <row r="260">
      <c r="A260" s="4" t="inlineStr">
        <is>
          <t>Нийт (Total — must equal the headline growth)</t>
        </is>
      </c>
      <c r="B260" s="32">
        <f>SUM(B255:B259)</f>
        <v/>
      </c>
      <c r="C260" s="32">
        <f>SUM(C255:C259)</f>
        <v/>
      </c>
      <c r="D260" s="32">
        <f>C260-B260</f>
        <v/>
      </c>
      <c r="E260" s="27">
        <f>SUM(E255:E259)</f>
        <v/>
      </c>
      <c r="F260" s="29">
        <f>IFERROR(C260/B260-1,"")</f>
        <v/>
      </c>
    </row>
    <row r="261">
      <c r="A261" s="4" t="inlineStr">
        <is>
          <t>Салбарын өсөлт (Headline growth, YoY)</t>
        </is>
      </c>
      <c r="E261" s="27" t="n">
        <v>9.157400000000001</v>
      </c>
    </row>
    <row r="263">
      <c r="A263" s="4" t="inlineStr">
        <is>
          <t>Цуваа (series for the chart)</t>
        </is>
      </c>
    </row>
    <row r="264">
      <c r="A264" s="3" t="inlineStr">
        <is>
          <t>Үе (Period)</t>
        </is>
      </c>
      <c r="B264" s="3" t="inlineStr">
        <is>
          <t>Өссөн дүн (Cumulative)</t>
        </is>
      </c>
      <c r="C264" s="3" t="inlineStr">
        <is>
          <t>Тухайн үе (Single period)</t>
        </is>
      </c>
    </row>
    <row r="265">
      <c r="A265" s="5" t="inlineStr">
        <is>
          <t>2018-01</t>
        </is>
      </c>
      <c r="B265" s="16" t="n">
        <v>34934.4</v>
      </c>
      <c r="C265" s="16" t="n">
        <v>34934.4</v>
      </c>
    </row>
    <row r="266">
      <c r="A266" s="8" t="inlineStr">
        <is>
          <t>2018-02</t>
        </is>
      </c>
      <c r="B266" s="15" t="n">
        <v>67821.92999999999</v>
      </c>
      <c r="C266" s="15" t="n">
        <v>32887.53</v>
      </c>
    </row>
    <row r="267">
      <c r="A267" s="5" t="inlineStr">
        <is>
          <t>2018-03</t>
        </is>
      </c>
      <c r="B267" s="16" t="n">
        <v>113514.74</v>
      </c>
      <c r="C267" s="16" t="n">
        <v>45692.81</v>
      </c>
    </row>
    <row r="268">
      <c r="A268" s="8" t="inlineStr">
        <is>
          <t>2018-04</t>
        </is>
      </c>
      <c r="B268" s="15" t="n">
        <v>156221.67</v>
      </c>
      <c r="C268" s="15" t="n">
        <v>42706.93</v>
      </c>
    </row>
    <row r="269">
      <c r="A269" s="5" t="inlineStr">
        <is>
          <t>2018-05</t>
        </is>
      </c>
      <c r="B269" s="16" t="n">
        <v>204613.44</v>
      </c>
      <c r="C269" s="16" t="n">
        <v>48391.77</v>
      </c>
    </row>
    <row r="270">
      <c r="A270" s="8" t="inlineStr">
        <is>
          <t>2018-06</t>
        </is>
      </c>
      <c r="B270" s="15" t="n">
        <v>255257.7</v>
      </c>
      <c r="C270" s="15" t="n">
        <v>50644.26</v>
      </c>
    </row>
    <row r="271">
      <c r="A271" s="5" t="inlineStr">
        <is>
          <t>2018-07</t>
        </is>
      </c>
      <c r="B271" s="16" t="n">
        <v>306438.28</v>
      </c>
      <c r="C271" s="16" t="n">
        <v>51180.58</v>
      </c>
    </row>
    <row r="272">
      <c r="A272" s="8" t="inlineStr">
        <is>
          <t>2018-08</t>
        </is>
      </c>
      <c r="B272" s="15" t="n">
        <v>363321.26</v>
      </c>
      <c r="C272" s="15" t="n">
        <v>56882.98</v>
      </c>
    </row>
    <row r="273">
      <c r="A273" s="5" t="inlineStr">
        <is>
          <t>2018-09</t>
        </is>
      </c>
      <c r="B273" s="16" t="n">
        <v>419902.22</v>
      </c>
      <c r="C273" s="16" t="n">
        <v>56580.96</v>
      </c>
    </row>
    <row r="274">
      <c r="A274" s="8" t="inlineStr">
        <is>
          <t>2018-10</t>
        </is>
      </c>
      <c r="B274" s="15" t="n">
        <v>481943.73</v>
      </c>
      <c r="C274" s="15" t="n">
        <v>62041.51</v>
      </c>
    </row>
    <row r="275">
      <c r="A275" s="5" t="inlineStr">
        <is>
          <t>2018-11</t>
        </is>
      </c>
      <c r="B275" s="16" t="n">
        <v>534160.1899999999</v>
      </c>
      <c r="C275" s="16" t="n">
        <v>52216.46</v>
      </c>
    </row>
    <row r="276">
      <c r="A276" s="8" t="inlineStr">
        <is>
          <t>2018-12</t>
        </is>
      </c>
      <c r="B276" s="15" t="n">
        <v>606276.62</v>
      </c>
      <c r="C276" s="15" t="n">
        <v>72116.42999999999</v>
      </c>
    </row>
    <row r="277">
      <c r="A277" s="5" t="inlineStr">
        <is>
          <t>2019-01</t>
        </is>
      </c>
      <c r="B277" s="16" t="n">
        <v>44610.49</v>
      </c>
      <c r="C277" s="16" t="n">
        <v>44610.49</v>
      </c>
    </row>
    <row r="278">
      <c r="A278" s="8" t="inlineStr">
        <is>
          <t>2019-02</t>
        </is>
      </c>
      <c r="B278" s="15" t="n">
        <v>82893.58</v>
      </c>
      <c r="C278" s="15" t="n">
        <v>38283.09</v>
      </c>
    </row>
    <row r="279">
      <c r="A279" s="5" t="inlineStr">
        <is>
          <t>2019-03</t>
        </is>
      </c>
      <c r="B279" s="16" t="n">
        <v>135849.72</v>
      </c>
      <c r="C279" s="16" t="n">
        <v>52956.14</v>
      </c>
    </row>
    <row r="280">
      <c r="A280" s="8" t="inlineStr">
        <is>
          <t>2019-04</t>
        </is>
      </c>
      <c r="B280" s="15" t="n">
        <v>185043.5</v>
      </c>
      <c r="C280" s="15" t="n">
        <v>49193.78</v>
      </c>
    </row>
    <row r="281">
      <c r="A281" s="5" t="inlineStr">
        <is>
          <t>2019-05</t>
        </is>
      </c>
      <c r="B281" s="16" t="n">
        <v>241660.25</v>
      </c>
      <c r="C281" s="16" t="n">
        <v>56616.75</v>
      </c>
    </row>
    <row r="282">
      <c r="A282" s="8" t="inlineStr">
        <is>
          <t>2019-06</t>
        </is>
      </c>
      <c r="B282" s="15" t="n">
        <v>304072.62</v>
      </c>
      <c r="C282" s="15" t="n">
        <v>62412.37</v>
      </c>
    </row>
    <row r="283">
      <c r="A283" s="5" t="inlineStr">
        <is>
          <t>2019-07</t>
        </is>
      </c>
      <c r="B283" s="16" t="n">
        <v>366932.73</v>
      </c>
      <c r="C283" s="16" t="n">
        <v>62860.11</v>
      </c>
    </row>
    <row r="284">
      <c r="A284" s="8" t="inlineStr">
        <is>
          <t>2019-08</t>
        </is>
      </c>
      <c r="B284" s="15" t="n">
        <v>433942.44</v>
      </c>
      <c r="C284" s="15" t="n">
        <v>67009.71000000001</v>
      </c>
    </row>
    <row r="285">
      <c r="A285" s="5" t="inlineStr">
        <is>
          <t>2019-09</t>
        </is>
      </c>
      <c r="B285" s="16" t="n">
        <v>497287.47</v>
      </c>
      <c r="C285" s="16" t="n">
        <v>63345.03</v>
      </c>
    </row>
    <row r="286">
      <c r="A286" s="8" t="inlineStr">
        <is>
          <t>2019-10</t>
        </is>
      </c>
      <c r="B286" s="15" t="n">
        <v>559998.9</v>
      </c>
      <c r="C286" s="15" t="n">
        <v>62711.43</v>
      </c>
    </row>
    <row r="287">
      <c r="A287" s="5" t="inlineStr">
        <is>
          <t>2019-11</t>
        </is>
      </c>
      <c r="B287" s="16" t="n">
        <v>617183.6</v>
      </c>
      <c r="C287" s="16" t="n">
        <v>57184.7</v>
      </c>
    </row>
    <row r="288">
      <c r="A288" s="8" t="inlineStr">
        <is>
          <t>2019-12</t>
        </is>
      </c>
      <c r="B288" s="15" t="n">
        <v>691495.6</v>
      </c>
      <c r="C288" s="15" t="n">
        <v>74312</v>
      </c>
    </row>
    <row r="289">
      <c r="A289" s="5" t="inlineStr">
        <is>
          <t>2020-01</t>
        </is>
      </c>
      <c r="B289" s="16" t="n">
        <v>54678.22</v>
      </c>
      <c r="C289" s="16" t="n">
        <v>54678.22</v>
      </c>
    </row>
    <row r="290">
      <c r="A290" s="8" t="inlineStr">
        <is>
          <t>2020-02</t>
        </is>
      </c>
      <c r="B290" s="15" t="n">
        <v>94765.2</v>
      </c>
      <c r="C290" s="15" t="n">
        <v>40086.98</v>
      </c>
    </row>
    <row r="291">
      <c r="A291" s="5" t="inlineStr">
        <is>
          <t>2020-03</t>
        </is>
      </c>
      <c r="B291" s="16" t="n">
        <v>135143.16</v>
      </c>
      <c r="C291" s="16" t="n">
        <v>40377.96</v>
      </c>
    </row>
    <row r="292">
      <c r="A292" s="8" t="inlineStr">
        <is>
          <t>2020-04</t>
        </is>
      </c>
      <c r="B292" s="15" t="n">
        <v>180128.98</v>
      </c>
      <c r="C292" s="15" t="n">
        <v>44985.82</v>
      </c>
    </row>
    <row r="293">
      <c r="A293" s="5" t="inlineStr">
        <is>
          <t>2020-05</t>
        </is>
      </c>
      <c r="B293" s="16" t="n">
        <v>230968.23</v>
      </c>
      <c r="C293" s="16" t="n">
        <v>50839.25</v>
      </c>
    </row>
    <row r="294">
      <c r="A294" s="8" t="inlineStr">
        <is>
          <t>2020-06</t>
        </is>
      </c>
      <c r="B294" s="15" t="n">
        <v>288220.12</v>
      </c>
      <c r="C294" s="15" t="n">
        <v>57251.89</v>
      </c>
    </row>
    <row r="295">
      <c r="A295" s="5" t="inlineStr">
        <is>
          <t>2020-07</t>
        </is>
      </c>
      <c r="B295" s="16" t="n">
        <v>343675.33</v>
      </c>
      <c r="C295" s="16" t="n">
        <v>55455.21</v>
      </c>
    </row>
    <row r="296">
      <c r="A296" s="8" t="inlineStr">
        <is>
          <t>2020-08</t>
        </is>
      </c>
      <c r="B296" s="15" t="n">
        <v>407863.9</v>
      </c>
      <c r="C296" s="15" t="n">
        <v>64188.57</v>
      </c>
    </row>
    <row r="297">
      <c r="A297" s="5" t="inlineStr">
        <is>
          <t>2020-09</t>
        </is>
      </c>
      <c r="B297" s="16" t="n">
        <v>477626.05</v>
      </c>
      <c r="C297" s="16" t="n">
        <v>69762.14999999999</v>
      </c>
    </row>
    <row r="298">
      <c r="A298" s="8" t="inlineStr">
        <is>
          <t>2020-10</t>
        </is>
      </c>
      <c r="B298" s="15" t="n">
        <v>554866.41</v>
      </c>
      <c r="C298" s="15" t="n">
        <v>77240.36</v>
      </c>
    </row>
    <row r="299">
      <c r="A299" s="5" t="inlineStr">
        <is>
          <t>2020-11</t>
        </is>
      </c>
      <c r="B299" s="16" t="n">
        <v>594334.4399999999</v>
      </c>
      <c r="C299" s="16" t="n">
        <v>39468.03</v>
      </c>
    </row>
    <row r="300">
      <c r="A300" s="8" t="inlineStr">
        <is>
          <t>2020-12</t>
        </is>
      </c>
      <c r="B300" s="15" t="n">
        <v>635347.09</v>
      </c>
      <c r="C300" s="15" t="n">
        <v>41012.65</v>
      </c>
    </row>
    <row r="301">
      <c r="A301" s="5" t="inlineStr">
        <is>
          <t>2021-01</t>
        </is>
      </c>
      <c r="B301" s="16" t="n">
        <v>32900.44</v>
      </c>
      <c r="C301" s="16" t="n">
        <v>32900.44</v>
      </c>
    </row>
    <row r="302">
      <c r="A302" s="8" t="inlineStr">
        <is>
          <t>2021-02</t>
        </is>
      </c>
      <c r="B302" s="15" t="n">
        <v>68721.44</v>
      </c>
      <c r="C302" s="15" t="n">
        <v>35821</v>
      </c>
    </row>
    <row r="303">
      <c r="A303" s="5" t="inlineStr">
        <is>
          <t>2021-03</t>
        </is>
      </c>
      <c r="B303" s="16" t="n">
        <v>127016.77</v>
      </c>
      <c r="C303" s="16" t="n">
        <v>58295.33</v>
      </c>
    </row>
    <row r="304">
      <c r="A304" s="8" t="inlineStr">
        <is>
          <t>2021-04</t>
        </is>
      </c>
      <c r="B304" s="15" t="n">
        <v>154300.16</v>
      </c>
      <c r="C304" s="15" t="n">
        <v>27283.39</v>
      </c>
    </row>
    <row r="305">
      <c r="A305" s="5" t="inlineStr">
        <is>
          <t>2021-05</t>
        </is>
      </c>
      <c r="B305" s="16" t="n">
        <v>195705.22</v>
      </c>
      <c r="C305" s="16" t="n">
        <v>41405.06</v>
      </c>
    </row>
    <row r="306">
      <c r="A306" s="8" t="inlineStr">
        <is>
          <t>2021-06</t>
        </is>
      </c>
      <c r="B306" s="15" t="n">
        <v>253942.07</v>
      </c>
      <c r="C306" s="15" t="n">
        <v>58236.85</v>
      </c>
    </row>
    <row r="307">
      <c r="A307" s="5" t="inlineStr">
        <is>
          <t>2021-07</t>
        </is>
      </c>
      <c r="B307" s="16" t="n">
        <v>311638.87</v>
      </c>
      <c r="C307" s="16" t="n">
        <v>57696.8</v>
      </c>
    </row>
    <row r="308">
      <c r="A308" s="8" t="inlineStr">
        <is>
          <t>2021-08</t>
        </is>
      </c>
      <c r="B308" s="15" t="n">
        <v>391254.78</v>
      </c>
      <c r="C308" s="15" t="n">
        <v>79615.91</v>
      </c>
    </row>
    <row r="309">
      <c r="A309" s="5" t="inlineStr">
        <is>
          <t>2021-09</t>
        </is>
      </c>
      <c r="B309" s="16" t="n">
        <v>471374.37</v>
      </c>
      <c r="C309" s="16" t="n">
        <v>80119.59</v>
      </c>
    </row>
    <row r="310">
      <c r="A310" s="8" t="inlineStr">
        <is>
          <t>2021-10</t>
        </is>
      </c>
      <c r="B310" s="15" t="n">
        <v>557029.3</v>
      </c>
      <c r="C310" s="15" t="n">
        <v>85654.92999999999</v>
      </c>
    </row>
    <row r="311">
      <c r="A311" s="5" t="inlineStr">
        <is>
          <t>2021-11</t>
        </is>
      </c>
      <c r="B311" s="16" t="n">
        <v>646706.38</v>
      </c>
      <c r="C311" s="16" t="n">
        <v>89677.08</v>
      </c>
    </row>
    <row r="312">
      <c r="A312" s="8" t="inlineStr">
        <is>
          <t>2021-12</t>
        </is>
      </c>
      <c r="B312" s="15" t="n">
        <v>760437.1800000001</v>
      </c>
      <c r="C312" s="15" t="n">
        <v>113730.8</v>
      </c>
    </row>
    <row r="313">
      <c r="A313" s="5" t="inlineStr">
        <is>
          <t>2022-01</t>
        </is>
      </c>
      <c r="B313" s="16" t="n">
        <v>76139.47</v>
      </c>
      <c r="C313" s="16" t="n">
        <v>76139.47</v>
      </c>
    </row>
    <row r="314">
      <c r="A314" s="8" t="inlineStr">
        <is>
          <t>2022-02</t>
        </is>
      </c>
      <c r="B314" s="15" t="n">
        <v>148007.14</v>
      </c>
      <c r="C314" s="15" t="n">
        <v>71867.67</v>
      </c>
    </row>
    <row r="315">
      <c r="A315" s="5" t="inlineStr">
        <is>
          <t>2022-03</t>
        </is>
      </c>
      <c r="B315" s="16" t="n">
        <v>257758.11</v>
      </c>
      <c r="C315" s="16" t="n">
        <v>109750.97</v>
      </c>
    </row>
    <row r="316">
      <c r="A316" s="8" t="inlineStr">
        <is>
          <t>2022-04</t>
        </is>
      </c>
      <c r="B316" s="15" t="n">
        <v>366943.69</v>
      </c>
      <c r="C316" s="15" t="n">
        <v>109185.58</v>
      </c>
    </row>
    <row r="317">
      <c r="A317" s="5" t="inlineStr">
        <is>
          <t>2022-05</t>
        </is>
      </c>
      <c r="B317" s="16" t="n">
        <v>484573.76</v>
      </c>
      <c r="C317" s="16" t="n">
        <v>117630.07</v>
      </c>
    </row>
    <row r="318">
      <c r="A318" s="8" t="inlineStr">
        <is>
          <t>2022-06</t>
        </is>
      </c>
      <c r="B318" s="15" t="n">
        <v>606115.74</v>
      </c>
      <c r="C318" s="15" t="n">
        <v>121541.98</v>
      </c>
    </row>
    <row r="319">
      <c r="A319" s="5" t="inlineStr">
        <is>
          <t>2022-07</t>
        </is>
      </c>
      <c r="B319" s="16" t="n">
        <v>711447.26</v>
      </c>
      <c r="C319" s="16" t="n">
        <v>105331.52</v>
      </c>
    </row>
    <row r="320">
      <c r="A320" s="8" t="inlineStr">
        <is>
          <t>2022-08</t>
        </is>
      </c>
      <c r="B320" s="15" t="n">
        <v>833398.11</v>
      </c>
      <c r="C320" s="15" t="n">
        <v>121950.85</v>
      </c>
    </row>
    <row r="321">
      <c r="A321" s="5" t="inlineStr">
        <is>
          <t>2022-09</t>
        </is>
      </c>
      <c r="B321" s="16" t="n">
        <v>954212.8100000001</v>
      </c>
      <c r="C321" s="16" t="n">
        <v>120814.7</v>
      </c>
    </row>
    <row r="322">
      <c r="A322" s="8" t="inlineStr">
        <is>
          <t>2022-10</t>
        </is>
      </c>
      <c r="B322" s="15" t="n">
        <v>1079508.5</v>
      </c>
      <c r="C322" s="15" t="n">
        <v>125295.69</v>
      </c>
    </row>
    <row r="323">
      <c r="A323" s="5" t="inlineStr">
        <is>
          <t>2022-11</t>
        </is>
      </c>
      <c r="B323" s="16" t="n">
        <v>1198231.66</v>
      </c>
      <c r="C323" s="16" t="n">
        <v>118723.16</v>
      </c>
    </row>
    <row r="324">
      <c r="A324" s="8" t="inlineStr">
        <is>
          <t>2022-12</t>
        </is>
      </c>
      <c r="B324" s="15" t="n">
        <v>1351596.53</v>
      </c>
      <c r="C324" s="15" t="n">
        <v>153364.87</v>
      </c>
    </row>
    <row r="325">
      <c r="A325" s="5" t="inlineStr">
        <is>
          <t>2023-01</t>
        </is>
      </c>
      <c r="B325" s="16" t="n">
        <v>101233.51</v>
      </c>
      <c r="C325" s="16" t="n">
        <v>101233.51</v>
      </c>
    </row>
    <row r="326">
      <c r="A326" s="8" t="inlineStr">
        <is>
          <t>2023-02</t>
        </is>
      </c>
      <c r="B326" s="15" t="n">
        <v>191584.09</v>
      </c>
      <c r="C326" s="15" t="n">
        <v>90350.58</v>
      </c>
    </row>
    <row r="327">
      <c r="A327" s="5" t="inlineStr">
        <is>
          <t>2023-03</t>
        </is>
      </c>
      <c r="B327" s="16" t="n">
        <v>320726.45</v>
      </c>
      <c r="C327" s="16" t="n">
        <v>129142.36</v>
      </c>
    </row>
    <row r="328">
      <c r="A328" s="8" t="inlineStr">
        <is>
          <t>2023-04</t>
        </is>
      </c>
      <c r="B328" s="15" t="n">
        <v>450356</v>
      </c>
      <c r="C328" s="15" t="n">
        <v>129629.55</v>
      </c>
    </row>
    <row r="329">
      <c r="A329" s="5" t="inlineStr">
        <is>
          <t>2023-05</t>
        </is>
      </c>
      <c r="B329" s="16" t="n">
        <v>591057.49</v>
      </c>
      <c r="C329" s="16" t="n">
        <v>140701.49</v>
      </c>
    </row>
    <row r="330">
      <c r="A330" s="8" t="inlineStr">
        <is>
          <t>2023-06</t>
        </is>
      </c>
      <c r="B330" s="15" t="n">
        <v>741715.47</v>
      </c>
      <c r="C330" s="15" t="n">
        <v>150657.98</v>
      </c>
    </row>
    <row r="331">
      <c r="A331" s="5" t="inlineStr">
        <is>
          <t>2023-07</t>
        </is>
      </c>
      <c r="B331" s="16" t="n">
        <v>878081.53</v>
      </c>
      <c r="C331" s="16" t="n">
        <v>136366.06</v>
      </c>
    </row>
    <row r="332">
      <c r="A332" s="8" t="inlineStr">
        <is>
          <t>2023-08</t>
        </is>
      </c>
      <c r="B332" s="15" t="n">
        <v>1031667.07</v>
      </c>
      <c r="C332" s="15" t="n">
        <v>153585.54</v>
      </c>
    </row>
    <row r="333">
      <c r="A333" s="5" t="inlineStr">
        <is>
          <t>2023-09</t>
        </is>
      </c>
      <c r="B333" s="16" t="n">
        <v>1178525.77</v>
      </c>
      <c r="C333" s="16" t="n">
        <v>146858.7</v>
      </c>
    </row>
    <row r="334">
      <c r="A334" s="8" t="inlineStr">
        <is>
          <t>2023-10</t>
        </is>
      </c>
      <c r="B334" s="15" t="n">
        <v>1329139.25</v>
      </c>
      <c r="C334" s="15" t="n">
        <v>150613.48</v>
      </c>
    </row>
    <row r="335">
      <c r="A335" s="5" t="inlineStr">
        <is>
          <t>2023-11</t>
        </is>
      </c>
      <c r="B335" s="16" t="n">
        <v>1472277.68</v>
      </c>
      <c r="C335" s="16" t="n">
        <v>143138.43</v>
      </c>
    </row>
    <row r="336">
      <c r="A336" s="8" t="inlineStr">
        <is>
          <t>2023-12</t>
        </is>
      </c>
      <c r="B336" s="15" t="n">
        <v>1662592.62</v>
      </c>
      <c r="C336" s="15" t="n">
        <v>190314.94</v>
      </c>
    </row>
    <row r="337">
      <c r="A337" s="5" t="inlineStr">
        <is>
          <t>2024-01</t>
        </is>
      </c>
      <c r="B337" s="16" t="n">
        <v>122275.47</v>
      </c>
      <c r="C337" s="16" t="n">
        <v>122275.47</v>
      </c>
    </row>
    <row r="338">
      <c r="A338" s="8" t="inlineStr">
        <is>
          <t>2024-02</t>
        </is>
      </c>
      <c r="B338" s="15" t="n">
        <v>236782.79</v>
      </c>
      <c r="C338" s="15" t="n">
        <v>114507.32</v>
      </c>
    </row>
    <row r="339">
      <c r="A339" s="5" t="inlineStr">
        <is>
          <t>2024-03</t>
        </is>
      </c>
      <c r="B339" s="16" t="n">
        <v>385581.1</v>
      </c>
      <c r="C339" s="16" t="n">
        <v>148798.31</v>
      </c>
    </row>
    <row r="340">
      <c r="A340" s="8" t="inlineStr">
        <is>
          <t>2024-04</t>
        </is>
      </c>
      <c r="B340" s="15" t="n">
        <v>545254.5600000001</v>
      </c>
      <c r="C340" s="15" t="n">
        <v>159673.46</v>
      </c>
    </row>
    <row r="341">
      <c r="A341" s="5" t="inlineStr">
        <is>
          <t>2024-05</t>
        </is>
      </c>
      <c r="B341" s="16" t="n">
        <v>714850.98</v>
      </c>
      <c r="C341" s="16" t="n">
        <v>169596.42</v>
      </c>
    </row>
    <row r="342">
      <c r="A342" s="8" t="inlineStr">
        <is>
          <t>2024-06</t>
        </is>
      </c>
      <c r="B342" s="15" t="n">
        <v>888530.5699999999</v>
      </c>
      <c r="C342" s="15" t="n">
        <v>173679.59</v>
      </c>
    </row>
    <row r="343">
      <c r="A343" s="5" t="inlineStr">
        <is>
          <t>2024-07</t>
        </is>
      </c>
      <c r="B343" s="16" t="n">
        <v>1051350.04</v>
      </c>
      <c r="C343" s="16" t="n">
        <v>162819.47</v>
      </c>
    </row>
    <row r="344">
      <c r="A344" s="8" t="inlineStr">
        <is>
          <t>2024-08</t>
        </is>
      </c>
      <c r="B344" s="15" t="n">
        <v>1232388.74</v>
      </c>
      <c r="C344" s="15" t="n">
        <v>181038.7</v>
      </c>
    </row>
    <row r="345">
      <c r="A345" s="5" t="inlineStr">
        <is>
          <t>2024-09</t>
        </is>
      </c>
      <c r="B345" s="16" t="n">
        <v>1404016.37</v>
      </c>
      <c r="C345" s="16" t="n">
        <v>171627.63</v>
      </c>
    </row>
    <row r="346">
      <c r="A346" s="8" t="inlineStr">
        <is>
          <t>2024-10</t>
        </is>
      </c>
      <c r="B346" s="15" t="n">
        <v>1570970.03</v>
      </c>
      <c r="C346" s="15" t="n">
        <v>166953.66</v>
      </c>
    </row>
    <row r="347">
      <c r="A347" s="5" t="inlineStr">
        <is>
          <t>2024-11</t>
        </is>
      </c>
      <c r="B347" s="16" t="n">
        <v>1733003.94</v>
      </c>
      <c r="C347" s="16" t="n">
        <v>162033.91</v>
      </c>
    </row>
    <row r="348">
      <c r="A348" s="8" t="inlineStr">
        <is>
          <t>2024-12</t>
        </is>
      </c>
      <c r="B348" s="15" t="n">
        <v>1939116.17</v>
      </c>
      <c r="C348" s="15" t="n">
        <v>206112.23</v>
      </c>
    </row>
    <row r="349">
      <c r="A349" s="5" t="inlineStr">
        <is>
          <t>2025-01</t>
        </is>
      </c>
      <c r="B349" s="16" t="n">
        <v>141423.4</v>
      </c>
      <c r="C349" s="16" t="n">
        <v>141423.4</v>
      </c>
    </row>
    <row r="350">
      <c r="A350" s="8" t="inlineStr">
        <is>
          <t>2025-02</t>
        </is>
      </c>
      <c r="B350" s="15" t="n">
        <v>279148.94</v>
      </c>
      <c r="C350" s="15" t="n">
        <v>137725.54</v>
      </c>
    </row>
    <row r="351">
      <c r="A351" s="5" t="inlineStr">
        <is>
          <t>2025-03</t>
        </is>
      </c>
      <c r="B351" s="16" t="n">
        <v>439104.63</v>
      </c>
      <c r="C351" s="16" t="n">
        <v>159955.69</v>
      </c>
    </row>
    <row r="352">
      <c r="A352" s="8" t="inlineStr">
        <is>
          <t>2025-04</t>
        </is>
      </c>
      <c r="B352" s="15" t="n">
        <v>608627.89</v>
      </c>
      <c r="C352" s="15" t="n">
        <v>169523.26</v>
      </c>
    </row>
    <row r="353">
      <c r="A353" s="5" t="inlineStr">
        <is>
          <t>2025-05</t>
        </is>
      </c>
      <c r="B353" s="16" t="n">
        <v>790508.67</v>
      </c>
      <c r="C353" s="16" t="n">
        <v>181880.78</v>
      </c>
    </row>
    <row r="354">
      <c r="A354" s="8" t="inlineStr">
        <is>
          <t>2025-06</t>
        </is>
      </c>
      <c r="B354" s="15" t="n">
        <v>982535.1800000001</v>
      </c>
      <c r="C354" s="15" t="n">
        <v>192026.51</v>
      </c>
    </row>
    <row r="355">
      <c r="A355" s="5" t="inlineStr">
        <is>
          <t>2025-07</t>
        </is>
      </c>
      <c r="B355" s="16" t="n">
        <v>1160837.2</v>
      </c>
      <c r="C355" s="16" t="n">
        <v>178302.02</v>
      </c>
    </row>
    <row r="356">
      <c r="A356" s="8" t="inlineStr">
        <is>
          <t>2025-08</t>
        </is>
      </c>
      <c r="B356" s="15" t="n">
        <v>1367374.47</v>
      </c>
      <c r="C356" s="15" t="n">
        <v>206537.27</v>
      </c>
    </row>
    <row r="357">
      <c r="A357" s="5" t="inlineStr">
        <is>
          <t>2025-09</t>
        </is>
      </c>
      <c r="B357" s="16" t="n">
        <v>1557551.13</v>
      </c>
      <c r="C357" s="16" t="n">
        <v>190176.66</v>
      </c>
    </row>
    <row r="358">
      <c r="A358" s="8" t="inlineStr">
        <is>
          <t>2025-10</t>
        </is>
      </c>
      <c r="B358" s="15" t="n">
        <v>1755089.56</v>
      </c>
      <c r="C358" s="15" t="n">
        <v>197538.43</v>
      </c>
    </row>
    <row r="359">
      <c r="A359" s="5" t="inlineStr">
        <is>
          <t>2025-11</t>
        </is>
      </c>
      <c r="B359" s="16" t="n">
        <v>1926036.11</v>
      </c>
      <c r="C359" s="16" t="n">
        <v>170946.55</v>
      </c>
    </row>
    <row r="360">
      <c r="A360" s="8" t="inlineStr">
        <is>
          <t>2025-12</t>
        </is>
      </c>
      <c r="B360" s="15" t="n">
        <v>2164760.76</v>
      </c>
      <c r="C360" s="15" t="n">
        <v>238724.65</v>
      </c>
    </row>
    <row r="361">
      <c r="A361" s="5" t="inlineStr">
        <is>
          <t>2026-01</t>
        </is>
      </c>
      <c r="B361" s="16" t="n">
        <v>152121</v>
      </c>
      <c r="C361" s="16" t="n">
        <v>152121</v>
      </c>
    </row>
    <row r="362">
      <c r="A362" s="8" t="inlineStr">
        <is>
          <t>2026-02</t>
        </is>
      </c>
      <c r="B362" s="15" t="n">
        <v>290618.65</v>
      </c>
      <c r="C362" s="15" t="n">
        <v>138497.65</v>
      </c>
    </row>
    <row r="363">
      <c r="A363" s="5" t="inlineStr">
        <is>
          <t>2026-03</t>
        </is>
      </c>
      <c r="B363" s="16" t="n">
        <v>475722.77</v>
      </c>
      <c r="C363" s="16" t="n">
        <v>185104.12</v>
      </c>
    </row>
    <row r="364">
      <c r="A364" s="8" t="inlineStr">
        <is>
          <t>2026-04</t>
        </is>
      </c>
      <c r="B364" s="15" t="n">
        <v>655865.5</v>
      </c>
      <c r="C364" s="15" t="n">
        <v>180142.73</v>
      </c>
    </row>
    <row r="365">
      <c r="A365" s="5" t="inlineStr">
        <is>
          <t>2026-05</t>
        </is>
      </c>
      <c r="B365" s="16" t="n">
        <v>857914.54</v>
      </c>
      <c r="C365" s="16" t="n">
        <v>202049.04</v>
      </c>
    </row>
    <row r="366">
      <c r="A366" s="8" t="inlineStr">
        <is>
          <t>2026-06</t>
        </is>
      </c>
      <c r="B366" s="15" t="n">
        <v>1072510.2</v>
      </c>
      <c r="C366" s="15" t="n">
        <v>214595.66</v>
      </c>
    </row>
    <row r="369">
      <c r="A369" s="4" t="inlineStr">
        <is>
          <t>Барилга угсралт, их засварын ажил — 2026-Q2</t>
        </is>
      </c>
    </row>
    <row r="370">
      <c r="A370" s="5" t="inlineStr">
        <is>
          <t>Улирлаар, өссөн дүнгээр   ·   нийт 4,795,735.2 сая төг   ·   өмнөх оны мөн үе 5,077,599.1</t>
        </is>
      </c>
    </row>
    <row r="371">
      <c r="A371" s="3" t="inlineStr">
        <is>
          <t>Бүрэлдэхүүн (Component)</t>
        </is>
      </c>
      <c r="B371" s="3" t="inlineStr">
        <is>
          <t>Өмнөх он (Prev, cum.)</t>
        </is>
      </c>
      <c r="C371" s="3" t="inlineStr">
        <is>
          <t>Тайлант он (Cur, cum.)</t>
        </is>
      </c>
      <c r="D371" s="3" t="inlineStr">
        <is>
          <t>Өөрчлөлт (Change)</t>
        </is>
      </c>
      <c r="E371" s="3" t="inlineStr">
        <is>
          <t>Хувь нэмэр (Contribution, pp)</t>
        </is>
      </c>
      <c r="F371" s="3" t="inlineStr">
        <is>
          <t>Жилийн өсөлт (YoY)</t>
        </is>
      </c>
    </row>
    <row r="372">
      <c r="A372" s="5" t="inlineStr">
        <is>
          <t>Орон сууцны барилга</t>
        </is>
      </c>
      <c r="B372" s="16" t="n">
        <v>1892840.99</v>
      </c>
      <c r="C372" s="16" t="n">
        <v>2007549.42</v>
      </c>
      <c r="D372" s="16">
        <f>C372-B372</f>
        <v/>
      </c>
      <c r="E372" s="25" t="n">
        <v>2.259108</v>
      </c>
      <c r="F372" s="14" t="n">
        <v>0.06059999999999999</v>
      </c>
    </row>
    <row r="373">
      <c r="A373" s="8" t="inlineStr">
        <is>
          <t>Их засварын ажил</t>
        </is>
      </c>
      <c r="B373" s="15" t="n">
        <v>228677.04</v>
      </c>
      <c r="C373" s="15" t="n">
        <v>245237.1</v>
      </c>
      <c r="D373" s="15">
        <f>C373-B373</f>
        <v/>
      </c>
      <c r="E373" s="26" t="n">
        <v>0.32614</v>
      </c>
      <c r="F373" s="13" t="n">
        <v>0.07240000000000001</v>
      </c>
    </row>
    <row r="374">
      <c r="A374" s="5" t="inlineStr">
        <is>
          <t>Инженерийн барилга, байгууламж</t>
        </is>
      </c>
      <c r="B374" s="16" t="n">
        <v>1342476.57</v>
      </c>
      <c r="C374" s="16" t="n">
        <v>1346230.94</v>
      </c>
      <c r="D374" s="16">
        <f>C374-B374</f>
        <v/>
      </c>
      <c r="E374" s="25" t="n">
        <v>0.07394000000000001</v>
      </c>
      <c r="F374" s="14" t="n">
        <v>0.0028</v>
      </c>
    </row>
    <row r="375">
      <c r="A375" s="8" t="inlineStr">
        <is>
          <t>Орон сууцны бус барилга</t>
        </is>
      </c>
      <c r="B375" s="15" t="n">
        <v>1613604.49</v>
      </c>
      <c r="C375" s="15" t="n">
        <v>1059017.43</v>
      </c>
      <c r="D375" s="15">
        <f>C375-B375</f>
        <v/>
      </c>
      <c r="E375" s="26" t="n">
        <v>-10.92223</v>
      </c>
      <c r="F375" s="13" t="n">
        <v>-0.3436999999999999</v>
      </c>
    </row>
    <row r="376">
      <c r="A376" s="4" t="inlineStr">
        <is>
          <t>Нийт (Total — must equal the headline growth)</t>
        </is>
      </c>
      <c r="B376" s="32">
        <f>SUM(B372:B375)</f>
        <v/>
      </c>
      <c r="C376" s="32">
        <f>SUM(C372:C375)</f>
        <v/>
      </c>
      <c r="D376" s="32">
        <f>C376-B376</f>
        <v/>
      </c>
      <c r="E376" s="27">
        <f>SUM(E372:E375)</f>
        <v/>
      </c>
      <c r="F376" s="29">
        <f>IFERROR(C376/B376-1,"")</f>
        <v/>
      </c>
    </row>
    <row r="377">
      <c r="A377" s="4" t="inlineStr">
        <is>
          <t>Салбарын өсөлт (Headline growth, YoY)</t>
        </is>
      </c>
      <c r="E377" s="27" t="n">
        <v>-5.5511</v>
      </c>
    </row>
    <row r="379">
      <c r="A379" s="4" t="inlineStr">
        <is>
          <t>Цуваа (series for the chart)</t>
        </is>
      </c>
    </row>
    <row r="380">
      <c r="A380" s="3" t="inlineStr">
        <is>
          <t>Үе (Period)</t>
        </is>
      </c>
      <c r="B380" s="3" t="inlineStr">
        <is>
          <t>Өссөн дүн (Cumulative)</t>
        </is>
      </c>
      <c r="C380" s="3" t="inlineStr">
        <is>
          <t>Тухайн үе (Single period)</t>
        </is>
      </c>
    </row>
    <row r="381">
      <c r="A381" s="5" t="inlineStr">
        <is>
          <t>1989-Q4</t>
        </is>
      </c>
      <c r="B381" s="16" t="n">
        <v>2898.9</v>
      </c>
      <c r="C381" s="16" t="n">
        <v>2898.9</v>
      </c>
    </row>
    <row r="382">
      <c r="A382" s="8" t="inlineStr">
        <is>
          <t>1990-Q4</t>
        </is>
      </c>
      <c r="B382" s="15" t="n">
        <v>2636.6</v>
      </c>
      <c r="C382" s="15" t="n">
        <v>2636.6</v>
      </c>
    </row>
    <row r="383">
      <c r="A383" s="5" t="inlineStr">
        <is>
          <t>1991-Q4</t>
        </is>
      </c>
      <c r="B383" s="16" t="n">
        <v>3010</v>
      </c>
      <c r="C383" s="16" t="n">
        <v>3010</v>
      </c>
    </row>
    <row r="384">
      <c r="A384" s="8" t="inlineStr">
        <is>
          <t>1992-Q4</t>
        </is>
      </c>
      <c r="B384" s="15" t="n">
        <v>3074.5</v>
      </c>
      <c r="C384" s="15" t="n">
        <v>3074.5</v>
      </c>
    </row>
    <row r="385">
      <c r="A385" s="5" t="inlineStr">
        <is>
          <t>1993-Q4</t>
        </is>
      </c>
      <c r="B385" s="16" t="n">
        <v>15035.4</v>
      </c>
      <c r="C385" s="16" t="n">
        <v>15035.4</v>
      </c>
    </row>
    <row r="386">
      <c r="A386" s="8" t="inlineStr">
        <is>
          <t>1994-Q4</t>
        </is>
      </c>
      <c r="B386" s="15" t="n">
        <v>10543.6</v>
      </c>
      <c r="C386" s="15" t="n">
        <v>10543.6</v>
      </c>
    </row>
    <row r="387">
      <c r="A387" s="5" t="inlineStr">
        <is>
          <t>1995-Q4</t>
        </is>
      </c>
      <c r="B387" s="16" t="n">
        <v>36889.2</v>
      </c>
      <c r="C387" s="16" t="n">
        <v>36889.2</v>
      </c>
    </row>
    <row r="388">
      <c r="A388" s="8" t="inlineStr">
        <is>
          <t>1996-Q4</t>
        </is>
      </c>
      <c r="B388" s="15" t="n">
        <v>63484.2</v>
      </c>
      <c r="C388" s="15" t="n">
        <v>63484.2</v>
      </c>
    </row>
    <row r="389">
      <c r="A389" s="5" t="inlineStr">
        <is>
          <t>1997-Q4</t>
        </is>
      </c>
      <c r="B389" s="16" t="n">
        <v>69346.60000000001</v>
      </c>
      <c r="C389" s="16" t="n">
        <v>69346.60000000001</v>
      </c>
    </row>
    <row r="390">
      <c r="A390" s="8" t="inlineStr">
        <is>
          <t>1998-Q4</t>
        </is>
      </c>
      <c r="B390" s="15" t="n">
        <v>44797.9</v>
      </c>
      <c r="C390" s="15" t="n">
        <v>44797.9</v>
      </c>
    </row>
    <row r="391">
      <c r="A391" s="5" t="inlineStr">
        <is>
          <t>1999-Q4</t>
        </is>
      </c>
      <c r="B391" s="16" t="n">
        <v>78143.10000000001</v>
      </c>
      <c r="C391" s="16" t="n">
        <v>78143.10000000001</v>
      </c>
    </row>
    <row r="392">
      <c r="A392" s="8" t="inlineStr">
        <is>
          <t>2000-Q4</t>
        </is>
      </c>
      <c r="B392" s="15" t="n">
        <v>77087.7</v>
      </c>
      <c r="C392" s="15" t="n">
        <v>77087.7</v>
      </c>
    </row>
    <row r="393">
      <c r="A393" s="5" t="inlineStr">
        <is>
          <t>2001-Q4</t>
        </is>
      </c>
      <c r="B393" s="16" t="n">
        <v>90168.8</v>
      </c>
      <c r="C393" s="16" t="n">
        <v>90168.8</v>
      </c>
    </row>
    <row r="394">
      <c r="A394" s="8" t="inlineStr">
        <is>
          <t>2002-Q4</t>
        </is>
      </c>
      <c r="B394" s="15" t="n">
        <v>95354.3</v>
      </c>
      <c r="C394" s="15" t="n">
        <v>95354.3</v>
      </c>
    </row>
    <row r="395">
      <c r="A395" s="5" t="inlineStr">
        <is>
          <t>2003-Q1</t>
        </is>
      </c>
      <c r="B395" s="16" t="n">
        <v>6094.3</v>
      </c>
      <c r="C395" s="16" t="n">
        <v>6094.3</v>
      </c>
    </row>
    <row r="396">
      <c r="A396" s="8" t="inlineStr">
        <is>
          <t>2003-Q2</t>
        </is>
      </c>
      <c r="B396" s="15" t="n">
        <v>40389</v>
      </c>
      <c r="C396" s="15" t="n">
        <v>34294.7</v>
      </c>
    </row>
    <row r="397">
      <c r="A397" s="5" t="inlineStr">
        <is>
          <t>2003-Q3</t>
        </is>
      </c>
      <c r="B397" s="16" t="n">
        <v>85193.3</v>
      </c>
      <c r="C397" s="16" t="n">
        <v>44804.3</v>
      </c>
    </row>
    <row r="398">
      <c r="A398" s="8" t="inlineStr">
        <is>
          <t>2003-Q4</t>
        </is>
      </c>
      <c r="B398" s="15" t="n">
        <v>149924.1</v>
      </c>
      <c r="C398" s="15" t="n">
        <v>64730.8</v>
      </c>
    </row>
    <row r="399">
      <c r="A399" s="5" t="inlineStr">
        <is>
          <t>2004-Q1</t>
        </is>
      </c>
      <c r="B399" s="16" t="n">
        <v>8830.6</v>
      </c>
      <c r="C399" s="16" t="n">
        <v>8830.6</v>
      </c>
    </row>
    <row r="400">
      <c r="A400" s="8" t="inlineStr">
        <is>
          <t>2004-Q2</t>
        </is>
      </c>
      <c r="B400" s="15" t="n">
        <v>38005.2</v>
      </c>
      <c r="C400" s="15" t="n">
        <v>29174.6</v>
      </c>
    </row>
    <row r="401">
      <c r="A401" s="5" t="inlineStr">
        <is>
          <t>2004-Q3</t>
        </is>
      </c>
      <c r="B401" s="16" t="n">
        <v>97971.2</v>
      </c>
      <c r="C401" s="16" t="n">
        <v>59966</v>
      </c>
    </row>
    <row r="402">
      <c r="A402" s="8" t="inlineStr">
        <is>
          <t>2004-Q4</t>
        </is>
      </c>
      <c r="B402" s="15" t="n">
        <v>174267.3</v>
      </c>
      <c r="C402" s="15" t="n">
        <v>76296.10000000001</v>
      </c>
    </row>
    <row r="403">
      <c r="A403" s="5" t="inlineStr">
        <is>
          <t>2005-Q1</t>
        </is>
      </c>
      <c r="B403" s="16" t="n">
        <v>9897.5</v>
      </c>
      <c r="C403" s="16" t="n">
        <v>9897.5</v>
      </c>
    </row>
    <row r="404">
      <c r="A404" s="8" t="inlineStr">
        <is>
          <t>2005-Q2</t>
        </is>
      </c>
      <c r="B404" s="15" t="n">
        <v>45384.4</v>
      </c>
      <c r="C404" s="15" t="n">
        <v>35486.9</v>
      </c>
    </row>
    <row r="405">
      <c r="A405" s="5" t="inlineStr">
        <is>
          <t>2005-Q3</t>
        </is>
      </c>
      <c r="B405" s="16" t="n">
        <v>104505.5</v>
      </c>
      <c r="C405" s="16" t="n">
        <v>59121.1</v>
      </c>
    </row>
    <row r="406">
      <c r="A406" s="8" t="inlineStr">
        <is>
          <t>2005-Q4</t>
        </is>
      </c>
      <c r="B406" s="15" t="n">
        <v>185296.7</v>
      </c>
      <c r="C406" s="15" t="n">
        <v>80791.2</v>
      </c>
    </row>
    <row r="407">
      <c r="A407" s="5" t="inlineStr">
        <is>
          <t>2006-Q1</t>
        </is>
      </c>
      <c r="B407" s="16" t="n">
        <v>8802</v>
      </c>
      <c r="C407" s="16" t="n">
        <v>8802</v>
      </c>
    </row>
    <row r="408">
      <c r="A408" s="8" t="inlineStr">
        <is>
          <t>2006-Q2</t>
        </is>
      </c>
      <c r="B408" s="15" t="n">
        <v>46261.8</v>
      </c>
      <c r="C408" s="15" t="n">
        <v>37459.8</v>
      </c>
    </row>
    <row r="409">
      <c r="A409" s="5" t="inlineStr">
        <is>
          <t>2006-Q3</t>
        </is>
      </c>
      <c r="B409" s="16" t="n">
        <v>104832.6</v>
      </c>
      <c r="C409" s="16" t="n">
        <v>58570.8</v>
      </c>
    </row>
    <row r="410">
      <c r="A410" s="8" t="inlineStr">
        <is>
          <t>2006-Q4</t>
        </is>
      </c>
      <c r="B410" s="15" t="n">
        <v>266832.1</v>
      </c>
      <c r="C410" s="15" t="n">
        <v>161999.5</v>
      </c>
    </row>
    <row r="411">
      <c r="A411" s="5" t="inlineStr">
        <is>
          <t>2007-Q1</t>
        </is>
      </c>
      <c r="B411" s="16" t="n">
        <v>13308.9</v>
      </c>
      <c r="C411" s="16" t="n">
        <v>13308.9</v>
      </c>
    </row>
    <row r="412">
      <c r="A412" s="8" t="inlineStr">
        <is>
          <t>2007-Q2</t>
        </is>
      </c>
      <c r="B412" s="15" t="n">
        <v>68373.60000000001</v>
      </c>
      <c r="C412" s="15" t="n">
        <v>55064.7</v>
      </c>
    </row>
    <row r="413">
      <c r="A413" s="5" t="inlineStr">
        <is>
          <t>2007-Q3</t>
        </is>
      </c>
      <c r="B413" s="16" t="n">
        <v>129021.2</v>
      </c>
      <c r="C413" s="16" t="n">
        <v>60647.6</v>
      </c>
    </row>
    <row r="414">
      <c r="A414" s="8" t="inlineStr">
        <is>
          <t>2007-Q4</t>
        </is>
      </c>
      <c r="B414" s="15" t="n">
        <v>389358.3</v>
      </c>
      <c r="C414" s="15" t="n">
        <v>260337.1</v>
      </c>
    </row>
    <row r="415">
      <c r="A415" s="5" t="inlineStr">
        <is>
          <t>2008-Q1</t>
        </is>
      </c>
      <c r="B415" s="16" t="n">
        <v>19361.9</v>
      </c>
      <c r="C415" s="16" t="n">
        <v>19361.9</v>
      </c>
    </row>
    <row r="416">
      <c r="A416" s="8" t="inlineStr">
        <is>
          <t>2008-Q2</t>
        </is>
      </c>
      <c r="B416" s="15" t="n">
        <v>108222.4</v>
      </c>
      <c r="C416" s="15" t="n">
        <v>88860.5</v>
      </c>
    </row>
    <row r="417">
      <c r="A417" s="5" t="inlineStr">
        <is>
          <t>2008-Q3</t>
        </is>
      </c>
      <c r="B417" s="16" t="n">
        <v>212340</v>
      </c>
      <c r="C417" s="16" t="n">
        <v>104117.6</v>
      </c>
    </row>
    <row r="418">
      <c r="A418" s="8" t="inlineStr">
        <is>
          <t>2008-Q4</t>
        </is>
      </c>
      <c r="B418" s="15" t="n">
        <v>508247.9</v>
      </c>
      <c r="C418" s="15" t="n">
        <v>295907.9</v>
      </c>
    </row>
    <row r="419">
      <c r="A419" s="5" t="inlineStr">
        <is>
          <t>2009-Q1</t>
        </is>
      </c>
      <c r="B419" s="16" t="n">
        <v>20996.2</v>
      </c>
      <c r="C419" s="16" t="n">
        <v>20996.2</v>
      </c>
    </row>
    <row r="420">
      <c r="A420" s="8" t="inlineStr">
        <is>
          <t>2009-Q2</t>
        </is>
      </c>
      <c r="B420" s="15" t="n">
        <v>66913.5</v>
      </c>
      <c r="C420" s="15" t="n">
        <v>45917.3</v>
      </c>
    </row>
    <row r="421">
      <c r="A421" s="5" t="inlineStr">
        <is>
          <t>2009-Q3</t>
        </is>
      </c>
      <c r="B421" s="16" t="n">
        <v>145419.4</v>
      </c>
      <c r="C421" s="16" t="n">
        <v>78505.89999999999</v>
      </c>
    </row>
    <row r="422">
      <c r="A422" s="8" t="inlineStr">
        <is>
          <t>2009-Q4</t>
        </is>
      </c>
      <c r="B422" s="15" t="n">
        <v>279361.7</v>
      </c>
      <c r="C422" s="15" t="n">
        <v>133942.3</v>
      </c>
    </row>
    <row r="423">
      <c r="A423" s="5" t="inlineStr">
        <is>
          <t>2010-Q1</t>
        </is>
      </c>
      <c r="B423" s="16" t="n">
        <v>8407.6</v>
      </c>
      <c r="C423" s="16" t="n">
        <v>8407.6</v>
      </c>
    </row>
    <row r="424">
      <c r="A424" s="8" t="inlineStr">
        <is>
          <t>2010-Q2</t>
        </is>
      </c>
      <c r="B424" s="15" t="n">
        <v>55920.6</v>
      </c>
      <c r="C424" s="15" t="n">
        <v>47513</v>
      </c>
    </row>
    <row r="425">
      <c r="A425" s="5" t="inlineStr">
        <is>
          <t>2010-Q3</t>
        </is>
      </c>
      <c r="B425" s="16" t="n">
        <v>143718.6</v>
      </c>
      <c r="C425" s="16" t="n">
        <v>87798</v>
      </c>
    </row>
    <row r="426">
      <c r="A426" s="8" t="inlineStr">
        <is>
          <t>2010-Q4</t>
        </is>
      </c>
      <c r="B426" s="15" t="n">
        <v>463049.5</v>
      </c>
      <c r="C426" s="15" t="n">
        <v>319330.9</v>
      </c>
    </row>
    <row r="427">
      <c r="A427" s="5" t="inlineStr">
        <is>
          <t>2011-Q1</t>
        </is>
      </c>
      <c r="B427" s="16" t="n">
        <v>30134.6</v>
      </c>
      <c r="C427" s="16" t="n">
        <v>30134.6</v>
      </c>
    </row>
    <row r="428">
      <c r="A428" s="8" t="inlineStr">
        <is>
          <t>2011-Q2</t>
        </is>
      </c>
      <c r="B428" s="15" t="n">
        <v>174163.8</v>
      </c>
      <c r="C428" s="15" t="n">
        <v>144029.2</v>
      </c>
    </row>
    <row r="429">
      <c r="A429" s="5" t="inlineStr">
        <is>
          <t>2011-Q3</t>
        </is>
      </c>
      <c r="B429" s="16" t="n">
        <v>476555.4</v>
      </c>
      <c r="C429" s="16" t="n">
        <v>302391.6</v>
      </c>
    </row>
    <row r="430">
      <c r="A430" s="8" t="inlineStr">
        <is>
          <t>2011-Q4</t>
        </is>
      </c>
      <c r="B430" s="15" t="n">
        <v>745020.5</v>
      </c>
      <c r="C430" s="15" t="n">
        <v>268465.1</v>
      </c>
    </row>
    <row r="431">
      <c r="A431" s="5" t="inlineStr">
        <is>
          <t>2012-Q1</t>
        </is>
      </c>
      <c r="B431" s="16" t="n">
        <v>28478.9</v>
      </c>
      <c r="C431" s="16" t="n">
        <v>28478.9</v>
      </c>
    </row>
    <row r="432">
      <c r="A432" s="8" t="inlineStr">
        <is>
          <t>2012-Q2</t>
        </is>
      </c>
      <c r="B432" s="15" t="n">
        <v>198656</v>
      </c>
      <c r="C432" s="15" t="n">
        <v>170177.1</v>
      </c>
    </row>
    <row r="433">
      <c r="A433" s="5" t="inlineStr">
        <is>
          <t>2012-Q3</t>
        </is>
      </c>
      <c r="B433" s="16" t="n">
        <v>506243.3</v>
      </c>
      <c r="C433" s="16" t="n">
        <v>307587.3</v>
      </c>
    </row>
    <row r="434">
      <c r="A434" s="8" t="inlineStr">
        <is>
          <t>2012-Q4</t>
        </is>
      </c>
      <c r="B434" s="15" t="n">
        <v>1034140.6</v>
      </c>
      <c r="C434" s="15" t="n">
        <v>527897.3</v>
      </c>
    </row>
    <row r="435">
      <c r="A435" s="5" t="inlineStr">
        <is>
          <t>2013-Q1</t>
        </is>
      </c>
      <c r="B435" s="16" t="n">
        <v>34855.5</v>
      </c>
      <c r="C435" s="16" t="n">
        <v>34855.5</v>
      </c>
    </row>
    <row r="436">
      <c r="A436" s="8" t="inlineStr">
        <is>
          <t>2013-Q2</t>
        </is>
      </c>
      <c r="B436" s="15" t="n">
        <v>451511.3</v>
      </c>
      <c r="C436" s="15" t="n">
        <v>416655.8</v>
      </c>
    </row>
    <row r="437">
      <c r="A437" s="5" t="inlineStr">
        <is>
          <t>2013-Q3</t>
        </is>
      </c>
      <c r="B437" s="16" t="n">
        <v>1439600.4</v>
      </c>
      <c r="C437" s="16" t="n">
        <v>988089.1</v>
      </c>
    </row>
    <row r="438">
      <c r="A438" s="8" t="inlineStr">
        <is>
          <t>2013-Q4</t>
        </is>
      </c>
      <c r="B438" s="15" t="n">
        <v>1845871.4</v>
      </c>
      <c r="C438" s="15" t="n">
        <v>406271</v>
      </c>
    </row>
    <row r="439">
      <c r="A439" s="5" t="inlineStr">
        <is>
          <t>2014-Q1</t>
        </is>
      </c>
      <c r="B439" s="16" t="n">
        <v>59290.7</v>
      </c>
      <c r="C439" s="16" t="n">
        <v>59290.7</v>
      </c>
    </row>
    <row r="440">
      <c r="A440" s="8" t="inlineStr">
        <is>
          <t>2014-Q2</t>
        </is>
      </c>
      <c r="B440" s="15" t="n">
        <v>678402.5</v>
      </c>
      <c r="C440" s="15" t="n">
        <v>619111.8</v>
      </c>
    </row>
    <row r="441">
      <c r="A441" s="5" t="inlineStr">
        <is>
          <t>2014-Q3</t>
        </is>
      </c>
      <c r="B441" s="16" t="n">
        <v>1710777.6</v>
      </c>
      <c r="C441" s="16" t="n">
        <v>1032375.1</v>
      </c>
    </row>
    <row r="442">
      <c r="A442" s="8" t="inlineStr">
        <is>
          <t>2014-Q4</t>
        </is>
      </c>
      <c r="B442" s="15" t="n">
        <v>2702279.6</v>
      </c>
      <c r="C442" s="15" t="n">
        <v>991502</v>
      </c>
    </row>
    <row r="443">
      <c r="A443" s="5" t="inlineStr">
        <is>
          <t>2015-Q1</t>
        </is>
      </c>
      <c r="B443" s="16" t="n">
        <v>158377.4</v>
      </c>
      <c r="C443" s="16" t="n">
        <v>158377.4</v>
      </c>
    </row>
    <row r="444">
      <c r="A444" s="8" t="inlineStr">
        <is>
          <t>2015-Q2</t>
        </is>
      </c>
      <c r="B444" s="15" t="n">
        <v>957820.5</v>
      </c>
      <c r="C444" s="15" t="n">
        <v>799443.1</v>
      </c>
    </row>
    <row r="445">
      <c r="A445" s="5" t="inlineStr">
        <is>
          <t>2015-Q3</t>
        </is>
      </c>
      <c r="B445" s="16" t="n">
        <v>2311830.9</v>
      </c>
      <c r="C445" s="16" t="n">
        <v>1354010.4</v>
      </c>
    </row>
    <row r="446">
      <c r="A446" s="8" t="inlineStr">
        <is>
          <t>2015-Q4</t>
        </is>
      </c>
      <c r="B446" s="15" t="n">
        <v>3267370.8</v>
      </c>
      <c r="C446" s="15" t="n">
        <v>955539.9</v>
      </c>
    </row>
    <row r="447">
      <c r="A447" s="5" t="inlineStr">
        <is>
          <t>2016-Q1</t>
        </is>
      </c>
      <c r="B447" s="16" t="n">
        <v>229390.2</v>
      </c>
      <c r="C447" s="16" t="n">
        <v>229390.2</v>
      </c>
    </row>
    <row r="448">
      <c r="A448" s="8" t="inlineStr">
        <is>
          <t>2016-Q2</t>
        </is>
      </c>
      <c r="B448" s="15" t="n">
        <v>1447493.5</v>
      </c>
      <c r="C448" s="15" t="n">
        <v>1218103.3</v>
      </c>
    </row>
    <row r="449">
      <c r="A449" s="5" t="inlineStr">
        <is>
          <t>2016-Q3</t>
        </is>
      </c>
      <c r="B449" s="16" t="n">
        <v>2640295.8</v>
      </c>
      <c r="C449" s="16" t="n">
        <v>1192802.3</v>
      </c>
    </row>
    <row r="450">
      <c r="A450" s="8" t="inlineStr">
        <is>
          <t>2016-Q4</t>
        </is>
      </c>
      <c r="B450" s="15" t="n">
        <v>3356309.6</v>
      </c>
      <c r="C450" s="15" t="n">
        <v>716013.8</v>
      </c>
    </row>
    <row r="451">
      <c r="A451" s="5" t="inlineStr">
        <is>
          <t>2017-Q1</t>
        </is>
      </c>
      <c r="B451" s="16" t="n">
        <v>233188.9</v>
      </c>
      <c r="C451" s="16" t="n">
        <v>233188.9</v>
      </c>
    </row>
    <row r="452">
      <c r="A452" s="8" t="inlineStr">
        <is>
          <t>2017-Q2</t>
        </is>
      </c>
      <c r="B452" s="15" t="n">
        <v>1531681.9</v>
      </c>
      <c r="C452" s="15" t="n">
        <v>1298493</v>
      </c>
    </row>
    <row r="453">
      <c r="A453" s="5" t="inlineStr">
        <is>
          <t>2017-Q3</t>
        </is>
      </c>
      <c r="B453" s="16" t="n">
        <v>2982719.7</v>
      </c>
      <c r="C453" s="16" t="n">
        <v>1451037.8</v>
      </c>
    </row>
    <row r="454">
      <c r="A454" s="8" t="inlineStr">
        <is>
          <t>2017-Q4</t>
        </is>
      </c>
      <c r="B454" s="15" t="n">
        <v>3764885.8</v>
      </c>
      <c r="C454" s="15" t="n">
        <v>782166.1</v>
      </c>
    </row>
    <row r="455">
      <c r="A455" s="5" t="inlineStr">
        <is>
          <t>2018-Q1</t>
        </is>
      </c>
      <c r="B455" s="16" t="n">
        <v>346808.5</v>
      </c>
      <c r="C455" s="16" t="n">
        <v>346808.5</v>
      </c>
    </row>
    <row r="456">
      <c r="A456" s="8" t="inlineStr">
        <is>
          <t>2018-Q2</t>
        </is>
      </c>
      <c r="B456" s="15" t="n">
        <v>1763362.7</v>
      </c>
      <c r="C456" s="15" t="n">
        <v>1416554.2</v>
      </c>
    </row>
    <row r="457">
      <c r="A457" s="5" t="inlineStr">
        <is>
          <t>2018-Q3</t>
        </is>
      </c>
      <c r="B457" s="16" t="n">
        <v>3445489.7</v>
      </c>
      <c r="C457" s="16" t="n">
        <v>1682127</v>
      </c>
    </row>
    <row r="458">
      <c r="A458" s="8" t="inlineStr">
        <is>
          <t>2018-Q4</t>
        </is>
      </c>
      <c r="B458" s="15" t="n">
        <v>4306038.5</v>
      </c>
      <c r="C458" s="15" t="n">
        <v>860548.8</v>
      </c>
    </row>
    <row r="459">
      <c r="A459" s="5" t="inlineStr">
        <is>
          <t>2019-Q1</t>
        </is>
      </c>
      <c r="B459" s="16" t="n">
        <v>426976.9</v>
      </c>
      <c r="C459" s="16" t="n">
        <v>426976.9</v>
      </c>
    </row>
    <row r="460">
      <c r="A460" s="8" t="inlineStr">
        <is>
          <t>2019-Q2</t>
        </is>
      </c>
      <c r="B460" s="15" t="n">
        <v>2150129.5</v>
      </c>
      <c r="C460" s="15" t="n">
        <v>1723152.6</v>
      </c>
    </row>
    <row r="461">
      <c r="A461" s="5" t="inlineStr">
        <is>
          <t>2019-Q3</t>
        </is>
      </c>
      <c r="B461" s="16" t="n">
        <v>4050305.6</v>
      </c>
      <c r="C461" s="16" t="n">
        <v>1900176.1</v>
      </c>
    </row>
    <row r="462">
      <c r="A462" s="8" t="inlineStr">
        <is>
          <t>2019-Q4</t>
        </is>
      </c>
      <c r="B462" s="15" t="n">
        <v>4991908</v>
      </c>
      <c r="C462" s="15" t="n">
        <v>941602.4</v>
      </c>
    </row>
    <row r="463">
      <c r="A463" s="5" t="inlineStr">
        <is>
          <t>2020-Q1</t>
        </is>
      </c>
      <c r="B463" s="16" t="n">
        <v>592497.3</v>
      </c>
      <c r="C463" s="16" t="n">
        <v>592497.3</v>
      </c>
    </row>
    <row r="464">
      <c r="A464" s="8" t="inlineStr">
        <is>
          <t>2020-Q2</t>
        </is>
      </c>
      <c r="B464" s="15" t="n">
        <v>2369651.2</v>
      </c>
      <c r="C464" s="15" t="n">
        <v>1777153.9</v>
      </c>
    </row>
    <row r="465">
      <c r="A465" s="5" t="inlineStr">
        <is>
          <t>2020-Q3</t>
        </is>
      </c>
      <c r="B465" s="16" t="n">
        <v>4485378.4</v>
      </c>
      <c r="C465" s="16" t="n">
        <v>2115727.2</v>
      </c>
    </row>
    <row r="466">
      <c r="A466" s="8" t="inlineStr">
        <is>
          <t>2020-Q4</t>
        </is>
      </c>
      <c r="B466" s="15" t="n">
        <v>5438657.2</v>
      </c>
      <c r="C466" s="15" t="n">
        <v>953278.8</v>
      </c>
    </row>
    <row r="467">
      <c r="A467" s="5" t="inlineStr">
        <is>
          <t>2021-Q1</t>
        </is>
      </c>
      <c r="B467" s="16" t="n">
        <v>667112.356</v>
      </c>
      <c r="C467" s="16" t="n">
        <v>667112.36</v>
      </c>
    </row>
    <row r="468">
      <c r="A468" s="8" t="inlineStr">
        <is>
          <t>2021-Q2</t>
        </is>
      </c>
      <c r="B468" s="15" t="n">
        <v>1996832.796</v>
      </c>
      <c r="C468" s="15" t="n">
        <v>1329720.44</v>
      </c>
    </row>
    <row r="469">
      <c r="A469" s="5" t="inlineStr">
        <is>
          <t>2021-Q3</t>
        </is>
      </c>
      <c r="B469" s="16" t="n">
        <v>3922804.442</v>
      </c>
      <c r="C469" s="16" t="n">
        <v>1925971.65</v>
      </c>
    </row>
    <row r="470">
      <c r="A470" s="8" t="inlineStr">
        <is>
          <t>2021-Q4</t>
        </is>
      </c>
      <c r="B470" s="15" t="n">
        <v>5087893.93</v>
      </c>
      <c r="C470" s="15" t="n">
        <v>1165089.49</v>
      </c>
    </row>
    <row r="471">
      <c r="A471" s="5" t="inlineStr">
        <is>
          <t>2022-Q1</t>
        </is>
      </c>
      <c r="B471" s="16" t="n">
        <v>755940.388</v>
      </c>
      <c r="C471" s="16" t="n">
        <v>755940.39</v>
      </c>
    </row>
    <row r="472">
      <c r="A472" s="8" t="inlineStr">
        <is>
          <t>2022-Q2</t>
        </is>
      </c>
      <c r="B472" s="15" t="n">
        <v>2623142.067</v>
      </c>
      <c r="C472" s="15" t="n">
        <v>1867201.68</v>
      </c>
    </row>
    <row r="473">
      <c r="A473" s="5" t="inlineStr">
        <is>
          <t>2022-Q3</t>
        </is>
      </c>
      <c r="B473" s="16" t="n">
        <v>4974229.247</v>
      </c>
      <c r="C473" s="16" t="n">
        <v>2351087.18</v>
      </c>
    </row>
    <row r="474">
      <c r="A474" s="8" t="inlineStr">
        <is>
          <t>2022-Q4</t>
        </is>
      </c>
      <c r="B474" s="15" t="n">
        <v>6758720.69</v>
      </c>
      <c r="C474" s="15" t="n">
        <v>1784491.44</v>
      </c>
    </row>
    <row r="475">
      <c r="A475" s="5" t="inlineStr">
        <is>
          <t>2023-Q1</t>
        </is>
      </c>
      <c r="B475" s="16" t="n">
        <v>978073.404</v>
      </c>
      <c r="C475" s="16" t="n">
        <v>978073.4</v>
      </c>
    </row>
    <row r="476">
      <c r="A476" s="8" t="inlineStr">
        <is>
          <t>2023-Q2</t>
        </is>
      </c>
      <c r="B476" s="15" t="n">
        <v>3160660.926</v>
      </c>
      <c r="C476" s="15" t="n">
        <v>2182587.52</v>
      </c>
    </row>
    <row r="477">
      <c r="A477" s="5" t="inlineStr">
        <is>
          <t>2023-Q3</t>
        </is>
      </c>
      <c r="B477" s="16" t="n">
        <v>6046758.027</v>
      </c>
      <c r="C477" s="16" t="n">
        <v>2886097.1</v>
      </c>
    </row>
    <row r="478">
      <c r="A478" s="8" t="inlineStr">
        <is>
          <t>2023-Q4</t>
        </is>
      </c>
      <c r="B478" s="15" t="n">
        <v>7977913.251</v>
      </c>
      <c r="C478" s="15" t="n">
        <v>1931155.22</v>
      </c>
    </row>
    <row r="479">
      <c r="A479" s="5" t="inlineStr">
        <is>
          <t>2024-Q1</t>
        </is>
      </c>
      <c r="B479" s="16" t="n">
        <v>1300631.402</v>
      </c>
      <c r="C479" s="16" t="n">
        <v>1300631.4</v>
      </c>
    </row>
    <row r="480">
      <c r="A480" s="8" t="inlineStr">
        <is>
          <t>2024-Q2</t>
        </is>
      </c>
      <c r="B480" s="15" t="n">
        <v>3921718.333</v>
      </c>
      <c r="C480" s="15" t="n">
        <v>2621086.93</v>
      </c>
    </row>
    <row r="481">
      <c r="A481" s="5" t="inlineStr">
        <is>
          <t>2024-Q3</t>
        </is>
      </c>
      <c r="B481" s="16" t="n">
        <v>6837196.827</v>
      </c>
      <c r="C481" s="16" t="n">
        <v>2915478.49</v>
      </c>
    </row>
    <row r="482">
      <c r="A482" s="8" t="inlineStr">
        <is>
          <t>2024-Q4</t>
        </is>
      </c>
      <c r="B482" s="15" t="n">
        <v>9149443.665999999</v>
      </c>
      <c r="C482" s="15" t="n">
        <v>2312246.84</v>
      </c>
    </row>
    <row r="483">
      <c r="A483" s="5" t="inlineStr">
        <is>
          <t>2025-Q1</t>
        </is>
      </c>
      <c r="B483" s="16" t="n">
        <v>1329716.104</v>
      </c>
      <c r="C483" s="16" t="n">
        <v>1329716.1</v>
      </c>
    </row>
    <row r="484">
      <c r="A484" s="8" t="inlineStr">
        <is>
          <t>2025-Q2</t>
        </is>
      </c>
      <c r="B484" s="15" t="n">
        <v>5077599.079</v>
      </c>
      <c r="C484" s="15" t="n">
        <v>3747882.97</v>
      </c>
    </row>
    <row r="485">
      <c r="A485" s="5" t="inlineStr">
        <is>
          <t>2025-Q3</t>
        </is>
      </c>
      <c r="B485" s="16" t="n">
        <v>8945988.711999999</v>
      </c>
      <c r="C485" s="16" t="n">
        <v>3868389.63</v>
      </c>
    </row>
    <row r="486">
      <c r="A486" s="8" t="inlineStr">
        <is>
          <t>2025-Q4</t>
        </is>
      </c>
      <c r="B486" s="15" t="n">
        <v>11708056.763</v>
      </c>
      <c r="C486" s="15" t="n">
        <v>2762068.05</v>
      </c>
    </row>
    <row r="487">
      <c r="A487" s="5" t="inlineStr">
        <is>
          <t>2026-Q1</t>
        </is>
      </c>
      <c r="B487" s="16" t="n">
        <v>1707186.611</v>
      </c>
      <c r="C487" s="16" t="n">
        <v>1707186.61</v>
      </c>
    </row>
    <row r="488">
      <c r="A488" s="8" t="inlineStr">
        <is>
          <t>2026-Q2</t>
        </is>
      </c>
      <c r="B488" s="15" t="n">
        <v>4795735.211</v>
      </c>
      <c r="C488" s="15" t="n">
        <v>3088548.6</v>
      </c>
    </row>
    <row r="491">
      <c r="A491" s="4" t="inlineStr">
        <is>
          <t>Аж үйлдвэрийн салбарын бүтээгдэхүүний борлуулалт — 2026-07</t>
        </is>
      </c>
    </row>
    <row r="492">
      <c r="A492" s="5" t="inlineStr">
        <is>
          <t>Сараар, өссөн дүнгээр   ·   нийт 48,410,919.6 сая төг   ·   өмнөх оны мөн үе 29,291,618.2</t>
        </is>
      </c>
    </row>
    <row r="493">
      <c r="A493" s="3" t="inlineStr">
        <is>
          <t>Бүрэлдэхүүн (Component)</t>
        </is>
      </c>
      <c r="B493" s="3" t="inlineStr">
        <is>
          <t>Өмнөх он (Prev, cum.)</t>
        </is>
      </c>
      <c r="C493" s="3" t="inlineStr">
        <is>
          <t>Тайлант он (Cur, cum.)</t>
        </is>
      </c>
      <c r="D493" s="3" t="inlineStr">
        <is>
          <t>Өөрчлөлт (Change)</t>
        </is>
      </c>
      <c r="E493" s="3" t="inlineStr">
        <is>
          <t>Хувь нэмэр (Contribution, pp)</t>
        </is>
      </c>
      <c r="F493" s="3" t="inlineStr">
        <is>
          <t>Жилийн өсөлт (YoY)</t>
        </is>
      </c>
    </row>
    <row r="494">
      <c r="A494" s="5" t="inlineStr">
        <is>
          <t>Уул уурхай, олборлолт</t>
        </is>
      </c>
      <c r="B494" s="16" t="n">
        <v>22468818.9</v>
      </c>
      <c r="C494" s="16" t="n">
        <v>40848605.5</v>
      </c>
      <c r="D494" s="16">
        <f>C494-B494</f>
        <v/>
      </c>
      <c r="E494" s="25" t="n">
        <v>62.747597</v>
      </c>
      <c r="F494" s="14" t="n">
        <v>0.8179999999999999</v>
      </c>
    </row>
    <row r="495">
      <c r="A495" s="8" t="inlineStr">
        <is>
          <t>Боловсруулах үйлдвэрлэл</t>
        </is>
      </c>
      <c r="B495" s="15" t="n">
        <v>5116482.3</v>
      </c>
      <c r="C495" s="15" t="n">
        <v>5703194</v>
      </c>
      <c r="D495" s="15">
        <f>C495-B495</f>
        <v/>
      </c>
      <c r="E495" s="26" t="n">
        <v>2.003002</v>
      </c>
      <c r="F495" s="13" t="n">
        <v>0.1147</v>
      </c>
    </row>
    <row r="496">
      <c r="A496" s="5" t="inlineStr">
        <is>
          <t>Цахилгаан хий, уур, агааржуулалт</t>
        </is>
      </c>
      <c r="B496" s="16" t="n">
        <v>1530190.5</v>
      </c>
      <c r="C496" s="16" t="n">
        <v>1662202.2</v>
      </c>
      <c r="D496" s="16">
        <f>C496-B496</f>
        <v/>
      </c>
      <c r="E496" s="25" t="n">
        <v>0.450681</v>
      </c>
      <c r="F496" s="14" t="n">
        <v>0.0863</v>
      </c>
    </row>
    <row r="497">
      <c r="A497" s="8" t="inlineStr">
        <is>
          <t>Ус хангамж; бохир ус зайлуулах систем, хог, хаягдлын менежмент болон цэвэрлэх үйл ажиллагаа</t>
        </is>
      </c>
      <c r="B497" s="15" t="n">
        <v>176126.6</v>
      </c>
      <c r="C497" s="15" t="n">
        <v>196918.2</v>
      </c>
      <c r="D497" s="15">
        <f>C497-B497</f>
        <v/>
      </c>
      <c r="E497" s="26" t="n">
        <v>0.070981</v>
      </c>
      <c r="F497" s="13" t="n">
        <v>0.118</v>
      </c>
    </row>
    <row r="498">
      <c r="A498" s="4" t="inlineStr">
        <is>
          <t>Нийт (Total — must equal the headline growth)</t>
        </is>
      </c>
      <c r="B498" s="32">
        <f>SUM(B494:B497)</f>
        <v/>
      </c>
      <c r="C498" s="32">
        <f>SUM(C494:C497)</f>
        <v/>
      </c>
      <c r="D498" s="32">
        <f>C498-B498</f>
        <v/>
      </c>
      <c r="E498" s="27">
        <f>SUM(E494:E497)</f>
        <v/>
      </c>
      <c r="F498" s="29">
        <f>IFERROR(C498/B498-1,"")</f>
        <v/>
      </c>
    </row>
    <row r="499">
      <c r="A499" s="4" t="inlineStr">
        <is>
          <t>Салбарын өсөлт (Headline growth, YoY)</t>
        </is>
      </c>
      <c r="E499" s="27" t="n">
        <v>65.2723</v>
      </c>
    </row>
    <row r="501">
      <c r="A501" s="4" t="inlineStr">
        <is>
          <t>Цуваа (series for the chart)</t>
        </is>
      </c>
    </row>
    <row r="502">
      <c r="A502" s="3" t="inlineStr">
        <is>
          <t>Үе (Period)</t>
        </is>
      </c>
      <c r="B502" s="3" t="inlineStr">
        <is>
          <t>Өссөн дүн (Cumulative)</t>
        </is>
      </c>
      <c r="C502" s="3" t="inlineStr">
        <is>
          <t>Тухайн үе (Single period)</t>
        </is>
      </c>
    </row>
    <row r="503">
      <c r="A503" s="5" t="inlineStr">
        <is>
          <t>2017-01</t>
        </is>
      </c>
      <c r="B503" s="16" t="n">
        <v>1076197.9</v>
      </c>
      <c r="C503" s="16" t="n">
        <v>1076197.9</v>
      </c>
    </row>
    <row r="504">
      <c r="A504" s="8" t="inlineStr">
        <is>
          <t>2017-02</t>
        </is>
      </c>
      <c r="B504" s="15" t="n">
        <v>2203529.1</v>
      </c>
      <c r="C504" s="15" t="n">
        <v>1127331.2</v>
      </c>
    </row>
    <row r="505">
      <c r="A505" s="5" t="inlineStr">
        <is>
          <t>2017-03</t>
        </is>
      </c>
      <c r="B505" s="16" t="n">
        <v>3346624.5</v>
      </c>
      <c r="C505" s="16" t="n">
        <v>1143095.4</v>
      </c>
    </row>
    <row r="506">
      <c r="A506" s="8" t="inlineStr">
        <is>
          <t>2017-04</t>
        </is>
      </c>
      <c r="B506" s="15" t="n">
        <v>4631157.6</v>
      </c>
      <c r="C506" s="15" t="n">
        <v>1284533.1</v>
      </c>
    </row>
    <row r="507">
      <c r="A507" s="5" t="inlineStr">
        <is>
          <t>2017-05</t>
        </is>
      </c>
      <c r="B507" s="16" t="n">
        <v>5960466.8</v>
      </c>
      <c r="C507" s="16" t="n">
        <v>1329309.2</v>
      </c>
    </row>
    <row r="508">
      <c r="A508" s="8" t="inlineStr">
        <is>
          <t>2017-06</t>
        </is>
      </c>
      <c r="B508" s="15" t="n">
        <v>7301114.4</v>
      </c>
      <c r="C508" s="15" t="n">
        <v>1340647.6</v>
      </c>
    </row>
    <row r="509">
      <c r="A509" s="5" t="inlineStr">
        <is>
          <t>2017-07</t>
        </is>
      </c>
      <c r="B509" s="16" t="n">
        <v>8445610.800000001</v>
      </c>
      <c r="C509" s="16" t="n">
        <v>1144496.4</v>
      </c>
    </row>
    <row r="510">
      <c r="A510" s="8" t="inlineStr">
        <is>
          <t>2017-08</t>
        </is>
      </c>
      <c r="B510" s="15" t="n">
        <v>9975161</v>
      </c>
      <c r="C510" s="15" t="n">
        <v>1529550.2</v>
      </c>
    </row>
    <row r="511">
      <c r="A511" s="5" t="inlineStr">
        <is>
          <t>2017-09</t>
        </is>
      </c>
      <c r="B511" s="16" t="n">
        <v>11335372.8</v>
      </c>
      <c r="C511" s="16" t="n">
        <v>1360211.8</v>
      </c>
    </row>
    <row r="512">
      <c r="A512" s="8" t="inlineStr">
        <is>
          <t>2017-10</t>
        </is>
      </c>
      <c r="B512" s="15" t="n">
        <v>12868086.8</v>
      </c>
      <c r="C512" s="15" t="n">
        <v>1532714</v>
      </c>
    </row>
    <row r="513">
      <c r="A513" s="5" t="inlineStr">
        <is>
          <t>2017-11</t>
        </is>
      </c>
      <c r="B513" s="16" t="n">
        <v>14178678.8</v>
      </c>
      <c r="C513" s="16" t="n">
        <v>1310592</v>
      </c>
    </row>
    <row r="514">
      <c r="A514" s="8" t="inlineStr">
        <is>
          <t>2017-12</t>
        </is>
      </c>
      <c r="B514" s="15" t="n">
        <v>15481801.4</v>
      </c>
      <c r="C514" s="15" t="n">
        <v>1303122.6</v>
      </c>
    </row>
    <row r="515">
      <c r="A515" s="5" t="inlineStr">
        <is>
          <t>2018-01</t>
        </is>
      </c>
      <c r="B515" s="16" t="n">
        <v>1410162.9</v>
      </c>
      <c r="C515" s="16" t="n">
        <v>1410162.9</v>
      </c>
    </row>
    <row r="516">
      <c r="A516" s="8" t="inlineStr">
        <is>
          <t>2018-02</t>
        </is>
      </c>
      <c r="B516" s="15" t="n">
        <v>2460470.5</v>
      </c>
      <c r="C516" s="15" t="n">
        <v>1050307.6</v>
      </c>
    </row>
    <row r="517">
      <c r="A517" s="5" t="inlineStr">
        <is>
          <t>2018-03</t>
        </is>
      </c>
      <c r="B517" s="16" t="n">
        <v>3974695.6</v>
      </c>
      <c r="C517" s="16" t="n">
        <v>1514225.1</v>
      </c>
    </row>
    <row r="518">
      <c r="A518" s="8" t="inlineStr">
        <is>
          <t>2018-04</t>
        </is>
      </c>
      <c r="B518" s="15" t="n">
        <v>5477150.1</v>
      </c>
      <c r="C518" s="15" t="n">
        <v>1502454.5</v>
      </c>
    </row>
    <row r="519">
      <c r="A519" s="5" t="inlineStr">
        <is>
          <t>2018-05</t>
        </is>
      </c>
      <c r="B519" s="16" t="n">
        <v>7130717.3</v>
      </c>
      <c r="C519" s="16" t="n">
        <v>1653567.2</v>
      </c>
    </row>
    <row r="520">
      <c r="A520" s="8" t="inlineStr">
        <is>
          <t>2018-06</t>
        </is>
      </c>
      <c r="B520" s="15" t="n">
        <v>8946158.800000001</v>
      </c>
      <c r="C520" s="15" t="n">
        <v>1815441.5</v>
      </c>
    </row>
    <row r="521">
      <c r="A521" s="5" t="inlineStr">
        <is>
          <t>2018-07</t>
        </is>
      </c>
      <c r="B521" s="16" t="n">
        <v>10381020.3</v>
      </c>
      <c r="C521" s="16" t="n">
        <v>1434861.5</v>
      </c>
    </row>
    <row r="522">
      <c r="A522" s="8" t="inlineStr">
        <is>
          <t>2018-08</t>
        </is>
      </c>
      <c r="B522" s="15" t="n">
        <v>11803113.2</v>
      </c>
      <c r="C522" s="15" t="n">
        <v>1422092.9</v>
      </c>
    </row>
    <row r="523">
      <c r="A523" s="5" t="inlineStr">
        <is>
          <t>2018-09</t>
        </is>
      </c>
      <c r="B523" s="16" t="n">
        <v>13599692.3</v>
      </c>
      <c r="C523" s="16" t="n">
        <v>1796579.1</v>
      </c>
    </row>
    <row r="524">
      <c r="A524" s="8" t="inlineStr">
        <is>
          <t>2018-10</t>
        </is>
      </c>
      <c r="B524" s="15" t="n">
        <v>15350570.6</v>
      </c>
      <c r="C524" s="15" t="n">
        <v>1750878.3</v>
      </c>
    </row>
    <row r="525">
      <c r="A525" s="5" t="inlineStr">
        <is>
          <t>2018-11</t>
        </is>
      </c>
      <c r="B525" s="16" t="n">
        <v>16951179.5</v>
      </c>
      <c r="C525" s="16" t="n">
        <v>1600608.9</v>
      </c>
    </row>
    <row r="526">
      <c r="A526" s="8" t="inlineStr">
        <is>
          <t>2018-12</t>
        </is>
      </c>
      <c r="B526" s="15" t="n">
        <v>18828213.5</v>
      </c>
      <c r="C526" s="15" t="n">
        <v>1877034</v>
      </c>
    </row>
    <row r="527">
      <c r="A527" s="5" t="inlineStr">
        <is>
          <t>2019-01</t>
        </is>
      </c>
      <c r="B527" s="16" t="n">
        <v>1658764.6</v>
      </c>
      <c r="C527" s="16" t="n">
        <v>1658764.6</v>
      </c>
    </row>
    <row r="528">
      <c r="A528" s="8" t="inlineStr">
        <is>
          <t>2019-02</t>
        </is>
      </c>
      <c r="B528" s="15" t="n">
        <v>2979666.4</v>
      </c>
      <c r="C528" s="15" t="n">
        <v>1320901.8</v>
      </c>
    </row>
    <row r="529">
      <c r="A529" s="5" t="inlineStr">
        <is>
          <t>2019-03</t>
        </is>
      </c>
      <c r="B529" s="16" t="n">
        <v>4854170.7</v>
      </c>
      <c r="C529" s="16" t="n">
        <v>1874504.3</v>
      </c>
    </row>
    <row r="530">
      <c r="A530" s="8" t="inlineStr">
        <is>
          <t>2019-04</t>
        </is>
      </c>
      <c r="B530" s="15" t="n">
        <v>6752133.5</v>
      </c>
      <c r="C530" s="15" t="n">
        <v>1897962.8</v>
      </c>
    </row>
    <row r="531">
      <c r="A531" s="5" t="inlineStr">
        <is>
          <t>2019-05</t>
        </is>
      </c>
      <c r="B531" s="16" t="n">
        <v>8695573.5</v>
      </c>
      <c r="C531" s="16" t="n">
        <v>1943440</v>
      </c>
    </row>
    <row r="532">
      <c r="A532" s="8" t="inlineStr">
        <is>
          <t>2019-06</t>
        </is>
      </c>
      <c r="B532" s="15" t="n">
        <v>10611743.4</v>
      </c>
      <c r="C532" s="15" t="n">
        <v>1916169.9</v>
      </c>
    </row>
    <row r="533">
      <c r="A533" s="5" t="inlineStr">
        <is>
          <t>2019-07</t>
        </is>
      </c>
      <c r="B533" s="16" t="n">
        <v>12307322.5</v>
      </c>
      <c r="C533" s="16" t="n">
        <v>1695579.1</v>
      </c>
    </row>
    <row r="534">
      <c r="A534" s="8" t="inlineStr">
        <is>
          <t>2019-08</t>
        </is>
      </c>
      <c r="B534" s="15" t="n">
        <v>14103817</v>
      </c>
      <c r="C534" s="15" t="n">
        <v>1796494.5</v>
      </c>
    </row>
    <row r="535">
      <c r="A535" s="5" t="inlineStr">
        <is>
          <t>2019-09</t>
        </is>
      </c>
      <c r="B535" s="16" t="n">
        <v>15820051.9</v>
      </c>
      <c r="C535" s="16" t="n">
        <v>1716234.9</v>
      </c>
    </row>
    <row r="536">
      <c r="A536" s="8" t="inlineStr">
        <is>
          <t>2019-10</t>
        </is>
      </c>
      <c r="B536" s="15" t="n">
        <v>17662238</v>
      </c>
      <c r="C536" s="15" t="n">
        <v>1842186.1</v>
      </c>
    </row>
    <row r="537">
      <c r="A537" s="5" t="inlineStr">
        <is>
          <t>2019-11</t>
        </is>
      </c>
      <c r="B537" s="16" t="n">
        <v>19287183.3</v>
      </c>
      <c r="C537" s="16" t="n">
        <v>1624945.3</v>
      </c>
    </row>
    <row r="538">
      <c r="A538" s="8" t="inlineStr">
        <is>
          <t>2019-12</t>
        </is>
      </c>
      <c r="B538" s="15" t="n">
        <v>21090086.4</v>
      </c>
      <c r="C538" s="15" t="n">
        <v>1802903.1</v>
      </c>
    </row>
    <row r="539">
      <c r="A539" s="5" t="inlineStr">
        <is>
          <t>2020-01</t>
        </is>
      </c>
      <c r="B539" s="16" t="n">
        <v>1269933.7</v>
      </c>
      <c r="C539" s="16" t="n">
        <v>1269933.7</v>
      </c>
    </row>
    <row r="540">
      <c r="A540" s="8" t="inlineStr">
        <is>
          <t>2020-02</t>
        </is>
      </c>
      <c r="B540" s="15" t="n">
        <v>2187260.9</v>
      </c>
      <c r="C540" s="15" t="n">
        <v>917327.2</v>
      </c>
    </row>
    <row r="541">
      <c r="A541" s="5" t="inlineStr">
        <is>
          <t>2020-03</t>
        </is>
      </c>
      <c r="B541" s="16" t="n">
        <v>3198088.6</v>
      </c>
      <c r="C541" s="16" t="n">
        <v>1010827.7</v>
      </c>
    </row>
    <row r="542">
      <c r="A542" s="8" t="inlineStr">
        <is>
          <t>2020-04</t>
        </is>
      </c>
      <c r="B542" s="15" t="n">
        <v>4344200.4</v>
      </c>
      <c r="C542" s="15" t="n">
        <v>1146111.8</v>
      </c>
    </row>
    <row r="543">
      <c r="A543" s="5" t="inlineStr">
        <is>
          <t>2020-05</t>
        </is>
      </c>
      <c r="B543" s="16" t="n">
        <v>5821648.5</v>
      </c>
      <c r="C543" s="16" t="n">
        <v>1477448.1</v>
      </c>
    </row>
    <row r="544">
      <c r="A544" s="8" t="inlineStr">
        <is>
          <t>2020-06</t>
        </is>
      </c>
      <c r="B544" s="15" t="n">
        <v>7499315.5</v>
      </c>
      <c r="C544" s="15" t="n">
        <v>1677667</v>
      </c>
    </row>
    <row r="545">
      <c r="A545" s="5" t="inlineStr">
        <is>
          <t>2020-07</t>
        </is>
      </c>
      <c r="B545" s="16" t="n">
        <v>9223774.9</v>
      </c>
      <c r="C545" s="16" t="n">
        <v>1724459.4</v>
      </c>
    </row>
    <row r="546">
      <c r="A546" s="8" t="inlineStr">
        <is>
          <t>2020-08</t>
        </is>
      </c>
      <c r="B546" s="15" t="n">
        <v>11143575.4</v>
      </c>
      <c r="C546" s="15" t="n">
        <v>1919800.5</v>
      </c>
    </row>
    <row r="547">
      <c r="A547" s="5" t="inlineStr">
        <is>
          <t>2020-09</t>
        </is>
      </c>
      <c r="B547" s="16" t="n">
        <v>13108727.8</v>
      </c>
      <c r="C547" s="16" t="n">
        <v>1965152.4</v>
      </c>
    </row>
    <row r="548">
      <c r="A548" s="8" t="inlineStr">
        <is>
          <t>2020-10</t>
        </is>
      </c>
      <c r="B548" s="15" t="n">
        <v>15518321.2</v>
      </c>
      <c r="C548" s="15" t="n">
        <v>2409593.4</v>
      </c>
    </row>
    <row r="549">
      <c r="A549" s="5" t="inlineStr">
        <is>
          <t>2020-11</t>
        </is>
      </c>
      <c r="B549" s="16" t="n">
        <v>17630145.6</v>
      </c>
      <c r="C549" s="16" t="n">
        <v>2111824.4</v>
      </c>
    </row>
    <row r="550">
      <c r="A550" s="8" t="inlineStr">
        <is>
          <t>2020-12</t>
        </is>
      </c>
      <c r="B550" s="15" t="n">
        <v>19934022.7</v>
      </c>
      <c r="C550" s="15" t="n">
        <v>2303877.1</v>
      </c>
    </row>
    <row r="551">
      <c r="A551" s="5" t="inlineStr">
        <is>
          <t>2021-01</t>
        </is>
      </c>
      <c r="B551" s="16" t="n">
        <v>2039682.5</v>
      </c>
      <c r="C551" s="16" t="n">
        <v>2039682.5</v>
      </c>
    </row>
    <row r="552">
      <c r="A552" s="8" t="inlineStr">
        <is>
          <t>2021-02</t>
        </is>
      </c>
      <c r="B552" s="15" t="n">
        <v>3917559.4</v>
      </c>
      <c r="C552" s="15" t="n">
        <v>1877876.9</v>
      </c>
    </row>
    <row r="553">
      <c r="A553" s="5" t="inlineStr">
        <is>
          <t>2021-03</t>
        </is>
      </c>
      <c r="B553" s="16" t="n">
        <v>6230562.1</v>
      </c>
      <c r="C553" s="16" t="n">
        <v>2313002.7</v>
      </c>
    </row>
    <row r="554">
      <c r="A554" s="8" t="inlineStr">
        <is>
          <t>2021-04</t>
        </is>
      </c>
      <c r="B554" s="15" t="n">
        <v>7907502</v>
      </c>
      <c r="C554" s="15" t="n">
        <v>1676939.9</v>
      </c>
    </row>
    <row r="555">
      <c r="A555" s="5" t="inlineStr">
        <is>
          <t>2021-05</t>
        </is>
      </c>
      <c r="B555" s="16" t="n">
        <v>10016823.7</v>
      </c>
      <c r="C555" s="16" t="n">
        <v>2109321.7</v>
      </c>
    </row>
    <row r="556">
      <c r="A556" s="8" t="inlineStr">
        <is>
          <t>2021-06</t>
        </is>
      </c>
      <c r="B556" s="15" t="n">
        <v>12126907.1</v>
      </c>
      <c r="C556" s="15" t="n">
        <v>2110083.4</v>
      </c>
    </row>
    <row r="557">
      <c r="A557" s="5" t="inlineStr">
        <is>
          <t>2021-07</t>
        </is>
      </c>
      <c r="B557" s="16" t="n">
        <v>14220908.2</v>
      </c>
      <c r="C557" s="16" t="n">
        <v>2094001.1</v>
      </c>
    </row>
    <row r="558">
      <c r="A558" s="8" t="inlineStr">
        <is>
          <t>2021-08</t>
        </is>
      </c>
      <c r="B558" s="15" t="n">
        <v>16339842.5</v>
      </c>
      <c r="C558" s="15" t="n">
        <v>2118934.3</v>
      </c>
    </row>
    <row r="559">
      <c r="A559" s="5" t="inlineStr">
        <is>
          <t>2021-09</t>
        </is>
      </c>
      <c r="B559" s="16" t="n">
        <v>18286477.7</v>
      </c>
      <c r="C559" s="16" t="n">
        <v>1946635.2</v>
      </c>
    </row>
    <row r="560">
      <c r="A560" s="8" t="inlineStr">
        <is>
          <t>2021-10</t>
        </is>
      </c>
      <c r="B560" s="15" t="n">
        <v>20670101.5</v>
      </c>
      <c r="C560" s="15" t="n">
        <v>2383623.8</v>
      </c>
    </row>
    <row r="561">
      <c r="A561" s="5" t="inlineStr">
        <is>
          <t>2021-11</t>
        </is>
      </c>
      <c r="B561" s="16" t="n">
        <v>22801686.1</v>
      </c>
      <c r="C561" s="16" t="n">
        <v>2131584.6</v>
      </c>
    </row>
    <row r="562">
      <c r="A562" s="8" t="inlineStr">
        <is>
          <t>2021-12</t>
        </is>
      </c>
      <c r="B562" s="15" t="n">
        <v>24466449.3</v>
      </c>
      <c r="C562" s="15" t="n">
        <v>1664763.2</v>
      </c>
    </row>
    <row r="563">
      <c r="A563" s="5" t="inlineStr">
        <is>
          <t>2022-01</t>
        </is>
      </c>
      <c r="B563" s="16" t="n">
        <v>1559349.5</v>
      </c>
      <c r="C563" s="16" t="n">
        <v>1559349.5</v>
      </c>
    </row>
    <row r="564">
      <c r="A564" s="8" t="inlineStr">
        <is>
          <t>2022-02</t>
        </is>
      </c>
      <c r="B564" s="15" t="n">
        <v>3126261.3</v>
      </c>
      <c r="C564" s="15" t="n">
        <v>1566911.8</v>
      </c>
    </row>
    <row r="565">
      <c r="A565" s="5" t="inlineStr">
        <is>
          <t>2022-03</t>
        </is>
      </c>
      <c r="B565" s="16" t="n">
        <v>5107250.4</v>
      </c>
      <c r="C565" s="16" t="n">
        <v>1980989.1</v>
      </c>
    </row>
    <row r="566">
      <c r="A566" s="8" t="inlineStr">
        <is>
          <t>2022-04</t>
        </is>
      </c>
      <c r="B566" s="15" t="n">
        <v>6988168.4</v>
      </c>
      <c r="C566" s="15" t="n">
        <v>1880918</v>
      </c>
    </row>
    <row r="567">
      <c r="A567" s="5" t="inlineStr">
        <is>
          <t>2022-05</t>
        </is>
      </c>
      <c r="B567" s="16" t="n">
        <v>9261862.5</v>
      </c>
      <c r="C567" s="16" t="n">
        <v>2273694.1</v>
      </c>
    </row>
    <row r="568">
      <c r="A568" s="8" t="inlineStr">
        <is>
          <t>2022-06</t>
        </is>
      </c>
      <c r="B568" s="15" t="n">
        <v>11842932.7</v>
      </c>
      <c r="C568" s="15" t="n">
        <v>2581070.2</v>
      </c>
    </row>
    <row r="569">
      <c r="A569" s="5" t="inlineStr">
        <is>
          <t>2022-07</t>
        </is>
      </c>
      <c r="B569" s="16" t="n">
        <v>14597391.5</v>
      </c>
      <c r="C569" s="16" t="n">
        <v>2754458.8</v>
      </c>
    </row>
    <row r="570">
      <c r="A570" s="8" t="inlineStr">
        <is>
          <t>2022-08</t>
        </is>
      </c>
      <c r="B570" s="15" t="n">
        <v>17651094.2</v>
      </c>
      <c r="C570" s="15" t="n">
        <v>3053702.7</v>
      </c>
    </row>
    <row r="571">
      <c r="A571" s="5" t="inlineStr">
        <is>
          <t>2022-09</t>
        </is>
      </c>
      <c r="B571" s="16" t="n">
        <v>20821472.5</v>
      </c>
      <c r="C571" s="16" t="n">
        <v>3170378.3</v>
      </c>
    </row>
    <row r="572">
      <c r="A572" s="8" t="inlineStr">
        <is>
          <t>2022-10</t>
        </is>
      </c>
      <c r="B572" s="15" t="n">
        <v>23893789.7</v>
      </c>
      <c r="C572" s="15" t="n">
        <v>3072317.2</v>
      </c>
    </row>
    <row r="573">
      <c r="A573" s="5" t="inlineStr">
        <is>
          <t>2022-11</t>
        </is>
      </c>
      <c r="B573" s="16" t="n">
        <v>27118054</v>
      </c>
      <c r="C573" s="16" t="n">
        <v>3224264.3</v>
      </c>
    </row>
    <row r="574">
      <c r="A574" s="8" t="inlineStr">
        <is>
          <t>2022-12</t>
        </is>
      </c>
      <c r="B574" s="15" t="n">
        <v>31039681.7</v>
      </c>
      <c r="C574" s="15" t="n">
        <v>3921627.7</v>
      </c>
    </row>
    <row r="575">
      <c r="A575" s="5" t="inlineStr">
        <is>
          <t>2023-01</t>
        </is>
      </c>
      <c r="B575" s="16" t="n">
        <v>3457928.7</v>
      </c>
      <c r="C575" s="16" t="n">
        <v>3457928.7</v>
      </c>
    </row>
    <row r="576">
      <c r="A576" s="8" t="inlineStr">
        <is>
          <t>2023-02</t>
        </is>
      </c>
      <c r="B576" s="15" t="n">
        <v>7168926.9</v>
      </c>
      <c r="C576" s="15" t="n">
        <v>3710998.2</v>
      </c>
    </row>
    <row r="577">
      <c r="A577" s="5" t="inlineStr">
        <is>
          <t>2023-03</t>
        </is>
      </c>
      <c r="B577" s="16" t="n">
        <v>11050810.1</v>
      </c>
      <c r="C577" s="16" t="n">
        <v>3881883.2</v>
      </c>
    </row>
    <row r="578">
      <c r="A578" s="8" t="inlineStr">
        <is>
          <t>2023-04</t>
        </is>
      </c>
      <c r="B578" s="15" t="n">
        <v>14702438.6</v>
      </c>
      <c r="C578" s="15" t="n">
        <v>3651628.5</v>
      </c>
    </row>
    <row r="579">
      <c r="A579" s="5" t="inlineStr">
        <is>
          <t>2023-05</t>
        </is>
      </c>
      <c r="B579" s="16" t="n">
        <v>18189741.9</v>
      </c>
      <c r="C579" s="16" t="n">
        <v>3487303.3</v>
      </c>
    </row>
    <row r="580">
      <c r="A580" s="8" t="inlineStr">
        <is>
          <t>2023-06</t>
        </is>
      </c>
      <c r="B580" s="15" t="n">
        <v>22030756.1</v>
      </c>
      <c r="C580" s="15" t="n">
        <v>3841014.2</v>
      </c>
    </row>
    <row r="581">
      <c r="A581" s="5" t="inlineStr">
        <is>
          <t>2023-07</t>
        </is>
      </c>
      <c r="B581" s="16" t="n">
        <v>25787093.2</v>
      </c>
      <c r="C581" s="16" t="n">
        <v>3756337.1</v>
      </c>
    </row>
    <row r="582">
      <c r="A582" s="8" t="inlineStr">
        <is>
          <t>2023-08</t>
        </is>
      </c>
      <c r="B582" s="15" t="n">
        <v>30372391.4</v>
      </c>
      <c r="C582" s="15" t="n">
        <v>4585298.2</v>
      </c>
    </row>
    <row r="583">
      <c r="A583" s="5" t="inlineStr">
        <is>
          <t>2023-09</t>
        </is>
      </c>
      <c r="B583" s="16" t="n">
        <v>34600157.1</v>
      </c>
      <c r="C583" s="16" t="n">
        <v>4227765.7</v>
      </c>
    </row>
    <row r="584">
      <c r="A584" s="8" t="inlineStr">
        <is>
          <t>2023-10</t>
        </is>
      </c>
      <c r="B584" s="15" t="n">
        <v>39113837.4</v>
      </c>
      <c r="C584" s="15" t="n">
        <v>4513680.3</v>
      </c>
    </row>
    <row r="585">
      <c r="A585" s="5" t="inlineStr">
        <is>
          <t>2023-11</t>
        </is>
      </c>
      <c r="B585" s="16" t="n">
        <v>43788379</v>
      </c>
      <c r="C585" s="16" t="n">
        <v>4674541.6</v>
      </c>
    </row>
    <row r="586">
      <c r="A586" s="8" t="inlineStr">
        <is>
          <t>2023-12</t>
        </is>
      </c>
      <c r="B586" s="15" t="n">
        <v>48279420.9</v>
      </c>
      <c r="C586" s="15" t="n">
        <v>4491041.9</v>
      </c>
    </row>
    <row r="587">
      <c r="A587" s="5" t="inlineStr">
        <is>
          <t>2024-01</t>
        </is>
      </c>
      <c r="B587" s="16" t="n">
        <v>4105220.5</v>
      </c>
      <c r="C587" s="16" t="n">
        <v>4105220.5</v>
      </c>
    </row>
    <row r="588">
      <c r="A588" s="8" t="inlineStr">
        <is>
          <t>2024-02</t>
        </is>
      </c>
      <c r="B588" s="15" t="n">
        <v>8159160.1</v>
      </c>
      <c r="C588" s="15" t="n">
        <v>4053939.6</v>
      </c>
    </row>
    <row r="589">
      <c r="A589" s="5" t="inlineStr">
        <is>
          <t>2024-03</t>
        </is>
      </c>
      <c r="B589" s="16" t="n">
        <v>12461554.7</v>
      </c>
      <c r="C589" s="16" t="n">
        <v>4302394.6</v>
      </c>
    </row>
    <row r="590">
      <c r="A590" s="8" t="inlineStr">
        <is>
          <t>2024-04</t>
        </is>
      </c>
      <c r="B590" s="15" t="n">
        <v>16761920.2</v>
      </c>
      <c r="C590" s="15" t="n">
        <v>4300365.5</v>
      </c>
    </row>
    <row r="591">
      <c r="A591" s="5" t="inlineStr">
        <is>
          <t>2024-05</t>
        </is>
      </c>
      <c r="B591" s="16" t="n">
        <v>21424215.8</v>
      </c>
      <c r="C591" s="16" t="n">
        <v>4662295.6</v>
      </c>
    </row>
    <row r="592">
      <c r="A592" s="8" t="inlineStr">
        <is>
          <t>2024-06</t>
        </is>
      </c>
      <c r="B592" s="15" t="n">
        <v>26291235.2</v>
      </c>
      <c r="C592" s="15" t="n">
        <v>4867019.4</v>
      </c>
    </row>
    <row r="593">
      <c r="A593" s="5" t="inlineStr">
        <is>
          <t>2024-07</t>
        </is>
      </c>
      <c r="B593" s="16" t="n">
        <v>30216890.2</v>
      </c>
      <c r="C593" s="16" t="n">
        <v>3925655</v>
      </c>
    </row>
    <row r="594">
      <c r="A594" s="8" t="inlineStr">
        <is>
          <t>2024-08</t>
        </is>
      </c>
      <c r="B594" s="15" t="n">
        <v>34569732.9</v>
      </c>
      <c r="C594" s="15" t="n">
        <v>4352842.7</v>
      </c>
    </row>
    <row r="595">
      <c r="A595" s="5" t="inlineStr">
        <is>
          <t>2024-09</t>
        </is>
      </c>
      <c r="B595" s="16" t="n">
        <v>38770785.6</v>
      </c>
      <c r="C595" s="16" t="n">
        <v>4201052.7</v>
      </c>
    </row>
    <row r="596">
      <c r="A596" s="8" t="inlineStr">
        <is>
          <t>2024-10</t>
        </is>
      </c>
      <c r="B596" s="15" t="n">
        <v>43575130.7</v>
      </c>
      <c r="C596" s="15" t="n">
        <v>4804345.1</v>
      </c>
    </row>
    <row r="597">
      <c r="A597" s="5" t="inlineStr">
        <is>
          <t>2024-11</t>
        </is>
      </c>
      <c r="B597" s="16" t="n">
        <v>47833649.1</v>
      </c>
      <c r="C597" s="16" t="n">
        <v>4258518.4</v>
      </c>
    </row>
    <row r="598">
      <c r="A598" s="8" t="inlineStr">
        <is>
          <t>2024-12</t>
        </is>
      </c>
      <c r="B598" s="15" t="n">
        <v>51726812.8</v>
      </c>
      <c r="C598" s="15" t="n">
        <v>3893163.7</v>
      </c>
    </row>
    <row r="599">
      <c r="A599" s="5" t="inlineStr">
        <is>
          <t>2025-01</t>
        </is>
      </c>
      <c r="B599" s="16" t="n">
        <v>3462569.9</v>
      </c>
      <c r="C599" s="16" t="n">
        <v>3462569.9</v>
      </c>
    </row>
    <row r="600">
      <c r="A600" s="8" t="inlineStr">
        <is>
          <t>2025-02</t>
        </is>
      </c>
      <c r="B600" s="15" t="n">
        <v>7274035.6</v>
      </c>
      <c r="C600" s="15" t="n">
        <v>3811465.7</v>
      </c>
    </row>
    <row r="601">
      <c r="A601" s="5" t="inlineStr">
        <is>
          <t>2025-03</t>
        </is>
      </c>
      <c r="B601" s="16" t="n">
        <v>10926540.9</v>
      </c>
      <c r="C601" s="16" t="n">
        <v>3652505.3</v>
      </c>
    </row>
    <row r="602">
      <c r="A602" s="8" t="inlineStr">
        <is>
          <t>2025-04</t>
        </is>
      </c>
      <c r="B602" s="15" t="n">
        <v>15133260.2</v>
      </c>
      <c r="C602" s="15" t="n">
        <v>4206719.3</v>
      </c>
    </row>
    <row r="603">
      <c r="A603" s="5" t="inlineStr">
        <is>
          <t>2025-05</t>
        </is>
      </c>
      <c r="B603" s="16" t="n">
        <v>19965270.6</v>
      </c>
      <c r="C603" s="16" t="n">
        <v>4832010.4</v>
      </c>
    </row>
    <row r="604">
      <c r="A604" s="8" t="inlineStr">
        <is>
          <t>2025-06</t>
        </is>
      </c>
      <c r="B604" s="15" t="n">
        <v>24794612.6</v>
      </c>
      <c r="C604" s="15" t="n">
        <v>4829342</v>
      </c>
    </row>
    <row r="605">
      <c r="A605" s="5" t="inlineStr">
        <is>
          <t>2025-07</t>
        </is>
      </c>
      <c r="B605" s="16" t="n">
        <v>29291618.2</v>
      </c>
      <c r="C605" s="16" t="n">
        <v>4497005.6</v>
      </c>
    </row>
    <row r="606">
      <c r="A606" s="8" t="inlineStr">
        <is>
          <t>2025-08</t>
        </is>
      </c>
      <c r="B606" s="15" t="n">
        <v>34796067.9</v>
      </c>
      <c r="C606" s="15" t="n">
        <v>5504449.7</v>
      </c>
    </row>
    <row r="607">
      <c r="A607" s="5" t="inlineStr">
        <is>
          <t>2025-09</t>
        </is>
      </c>
      <c r="B607" s="16" t="n">
        <v>40783220.6</v>
      </c>
      <c r="C607" s="16" t="n">
        <v>5987152.7</v>
      </c>
    </row>
    <row r="608">
      <c r="A608" s="8" t="inlineStr">
        <is>
          <t>2025-10</t>
        </is>
      </c>
      <c r="B608" s="15" t="n">
        <v>46742282.6</v>
      </c>
      <c r="C608" s="15" t="n">
        <v>5959062</v>
      </c>
    </row>
    <row r="609">
      <c r="A609" s="5" t="inlineStr">
        <is>
          <t>2025-11</t>
        </is>
      </c>
      <c r="B609" s="16" t="n">
        <v>52769135.9</v>
      </c>
      <c r="C609" s="16" t="n">
        <v>6026853.3</v>
      </c>
    </row>
    <row r="610">
      <c r="A610" s="8" t="inlineStr">
        <is>
          <t>2025-12</t>
        </is>
      </c>
      <c r="B610" s="15" t="n">
        <v>60097175</v>
      </c>
      <c r="C610" s="15" t="n">
        <v>7328039.1</v>
      </c>
    </row>
    <row r="611">
      <c r="A611" s="5" t="inlineStr">
        <is>
          <t>2026-01</t>
        </is>
      </c>
      <c r="B611" s="16" t="n">
        <v>7953595.6</v>
      </c>
      <c r="C611" s="16" t="n">
        <v>7953595.6</v>
      </c>
    </row>
    <row r="612">
      <c r="A612" s="8" t="inlineStr">
        <is>
          <t>2026-02</t>
        </is>
      </c>
      <c r="B612" s="15" t="n">
        <v>12712861.6</v>
      </c>
      <c r="C612" s="15" t="n">
        <v>4759266</v>
      </c>
    </row>
    <row r="613">
      <c r="A613" s="5" t="inlineStr">
        <is>
          <t>2026-03</t>
        </is>
      </c>
      <c r="B613" s="16" t="n">
        <v>19172213.9</v>
      </c>
      <c r="C613" s="16" t="n">
        <v>6459352.3</v>
      </c>
    </row>
    <row r="614">
      <c r="A614" s="8" t="inlineStr">
        <is>
          <t>2026-04</t>
        </is>
      </c>
      <c r="B614" s="15" t="n">
        <v>26832479.4</v>
      </c>
      <c r="C614" s="15" t="n">
        <v>7660265.5</v>
      </c>
    </row>
    <row r="615">
      <c r="A615" s="5" t="inlineStr">
        <is>
          <t>2026-05</t>
        </is>
      </c>
      <c r="B615" s="16" t="n">
        <v>34177201.3</v>
      </c>
      <c r="C615" s="16" t="n">
        <v>7344721.9</v>
      </c>
    </row>
    <row r="616">
      <c r="A616" s="8" t="inlineStr">
        <is>
          <t>2026-06</t>
        </is>
      </c>
      <c r="B616" s="15" t="n">
        <v>40836983.8</v>
      </c>
      <c r="C616" s="15" t="n">
        <v>6659782.5</v>
      </c>
    </row>
    <row r="617">
      <c r="A617" s="5" t="inlineStr">
        <is>
          <t>2026-07</t>
        </is>
      </c>
      <c r="B617" s="16" t="n">
        <v>48410919.6</v>
      </c>
      <c r="C617" s="16" t="n">
        <v>7573935.8</v>
      </c>
    </row>
    <row r="620">
      <c r="A620" s="4" t="inlineStr">
        <is>
          <t>Тээврийн салбарын нийт орлого — 2026-Q2</t>
        </is>
      </c>
    </row>
    <row r="621">
      <c r="A621" s="5" t="inlineStr">
        <is>
          <t>Улирлаар, өссөн дүнгээр   ·   нийт 6,232.7 сая төг   ·   өмнөх оны мөн үе 5,050.8</t>
        </is>
      </c>
    </row>
    <row r="622">
      <c r="A622" s="3" t="inlineStr">
        <is>
          <t>Бүрэлдэхүүн (Component)</t>
        </is>
      </c>
      <c r="B622" s="3" t="inlineStr">
        <is>
          <t>Өмнөх он (Prev, cum.)</t>
        </is>
      </c>
      <c r="C622" s="3" t="inlineStr">
        <is>
          <t>Тайлант он (Cur, cum.)</t>
        </is>
      </c>
      <c r="D622" s="3" t="inlineStr">
        <is>
          <t>Өөрчлөлт (Change)</t>
        </is>
      </c>
      <c r="E622" s="3" t="inlineStr">
        <is>
          <t>Хувь нэмэр (Contribution, pp)</t>
        </is>
      </c>
      <c r="F622" s="3" t="inlineStr">
        <is>
          <t>Жилийн өсөлт (YoY)</t>
        </is>
      </c>
    </row>
    <row r="623">
      <c r="A623" s="5" t="inlineStr">
        <is>
          <t>Авто тээвэр</t>
        </is>
      </c>
      <c r="B623" s="16" t="n">
        <v>2515.04</v>
      </c>
      <c r="C623" s="16" t="n">
        <v>3223.43</v>
      </c>
      <c r="D623" s="16">
        <f>C623-B623</f>
        <v/>
      </c>
      <c r="E623" s="25" t="n">
        <v>14.025303</v>
      </c>
      <c r="F623" s="14" t="n">
        <v>0.2817</v>
      </c>
    </row>
    <row r="624">
      <c r="A624" s="8" t="inlineStr">
        <is>
          <t>Төмөр зам</t>
        </is>
      </c>
      <c r="B624" s="15" t="n">
        <v>811.1799999999999</v>
      </c>
      <c r="C624" s="15" t="n">
        <v>1186.6</v>
      </c>
      <c r="D624" s="15">
        <f>C624-B624</f>
        <v/>
      </c>
      <c r="E624" s="26" t="n">
        <v>7.432882</v>
      </c>
      <c r="F624" s="13" t="n">
        <v>0.4628</v>
      </c>
    </row>
    <row r="625">
      <c r="A625" s="5" t="inlineStr">
        <is>
          <t>Бусад (агуулах, шуудан, туслах үйл ажиллагаа)</t>
        </is>
      </c>
      <c r="B625" s="16" t="n">
        <v>1139.26</v>
      </c>
      <c r="C625" s="16" t="n">
        <v>1206.71</v>
      </c>
      <c r="D625" s="16">
        <f>C625-B625</f>
        <v/>
      </c>
      <c r="E625" s="25" t="n">
        <v>1.335432</v>
      </c>
      <c r="F625" s="14" t="n">
        <v>0.0592</v>
      </c>
    </row>
    <row r="626">
      <c r="A626" s="8" t="inlineStr">
        <is>
          <t>Агаар</t>
        </is>
      </c>
      <c r="B626" s="15" t="n">
        <v>585.3200000000001</v>
      </c>
      <c r="C626" s="15" t="n">
        <v>615.9299999999999</v>
      </c>
      <c r="D626" s="15">
        <f>C626-B626</f>
        <v/>
      </c>
      <c r="E626" s="26" t="n">
        <v>0.606043</v>
      </c>
      <c r="F626" s="13" t="n">
        <v>0.05230000000000001</v>
      </c>
    </row>
    <row r="627">
      <c r="A627" s="5" t="inlineStr">
        <is>
          <t>Усан зам</t>
        </is>
      </c>
      <c r="B627" s="16" t="n">
        <v>0</v>
      </c>
      <c r="C627" s="16" t="n">
        <v>0</v>
      </c>
      <c r="D627" s="16">
        <f>C627-B627</f>
        <v/>
      </c>
      <c r="E627" s="25" t="n">
        <v>0</v>
      </c>
      <c r="F627" s="14" t="n"/>
    </row>
    <row r="628">
      <c r="A628" s="4" t="inlineStr">
        <is>
          <t>Нийт (Total — must equal the headline growth)</t>
        </is>
      </c>
      <c r="B628" s="32">
        <f>SUM(B623:B627)</f>
        <v/>
      </c>
      <c r="C628" s="32">
        <f>SUM(C623:C627)</f>
        <v/>
      </c>
      <c r="D628" s="32">
        <f>C628-B628</f>
        <v/>
      </c>
      <c r="E628" s="27">
        <f>SUM(E623:E627)</f>
        <v/>
      </c>
      <c r="F628" s="29">
        <f>IFERROR(C628/B628-1,"")</f>
        <v/>
      </c>
    </row>
    <row r="629">
      <c r="A629" s="4" t="inlineStr">
        <is>
          <t>Салбарын өсөлт (Headline growth, YoY)</t>
        </is>
      </c>
      <c r="E629" s="27" t="n">
        <v>23.3997</v>
      </c>
    </row>
    <row r="631">
      <c r="A631" s="4" t="inlineStr">
        <is>
          <t>Цуваа (series for the chart)</t>
        </is>
      </c>
    </row>
    <row r="632">
      <c r="A632" s="3" t="inlineStr">
        <is>
          <t>Үе (Period)</t>
        </is>
      </c>
      <c r="B632" s="3" t="inlineStr">
        <is>
          <t>Өссөн дүн (Cumulative)</t>
        </is>
      </c>
      <c r="C632" s="3" t="inlineStr">
        <is>
          <t>Тухайн үе (Single period)</t>
        </is>
      </c>
    </row>
    <row r="633">
      <c r="A633" s="5" t="inlineStr">
        <is>
          <t>2008-Q1</t>
        </is>
      </c>
      <c r="B633" s="16" t="n">
        <v>79.95999999999999</v>
      </c>
      <c r="C633" s="16" t="n">
        <v>79.95999999999999</v>
      </c>
    </row>
    <row r="634">
      <c r="A634" s="8" t="inlineStr">
        <is>
          <t>2008-Q2</t>
        </is>
      </c>
      <c r="B634" s="15" t="n">
        <v>181.26</v>
      </c>
      <c r="C634" s="15" t="n">
        <v>101.3</v>
      </c>
    </row>
    <row r="635">
      <c r="A635" s="5" t="inlineStr">
        <is>
          <t>2008-Q3</t>
        </is>
      </c>
      <c r="B635" s="16" t="n">
        <v>313.77</v>
      </c>
      <c r="C635" s="16" t="n">
        <v>132.51</v>
      </c>
    </row>
    <row r="636">
      <c r="A636" s="8" t="inlineStr">
        <is>
          <t>2008-Q4</t>
        </is>
      </c>
      <c r="B636" s="15" t="n">
        <v>419.24</v>
      </c>
      <c r="C636" s="15" t="n">
        <v>105.47</v>
      </c>
    </row>
    <row r="637">
      <c r="A637" s="5" t="inlineStr">
        <is>
          <t>2009-Q1</t>
        </is>
      </c>
      <c r="B637" s="16" t="n">
        <v>82.81</v>
      </c>
      <c r="C637" s="16" t="n">
        <v>82.81</v>
      </c>
    </row>
    <row r="638">
      <c r="A638" s="8" t="inlineStr">
        <is>
          <t>2009-Q2</t>
        </is>
      </c>
      <c r="B638" s="15" t="n">
        <v>194.38</v>
      </c>
      <c r="C638" s="15" t="n">
        <v>111.57</v>
      </c>
    </row>
    <row r="639">
      <c r="A639" s="5" t="inlineStr">
        <is>
          <t>2009-Q3</t>
        </is>
      </c>
      <c r="B639" s="16" t="n">
        <v>337.18</v>
      </c>
      <c r="C639" s="16" t="n">
        <v>142.8</v>
      </c>
    </row>
    <row r="640">
      <c r="A640" s="8" t="inlineStr">
        <is>
          <t>2009-Q4</t>
        </is>
      </c>
      <c r="B640" s="15" t="n">
        <v>465.57</v>
      </c>
      <c r="C640" s="15" t="n">
        <v>128.39</v>
      </c>
    </row>
    <row r="641">
      <c r="A641" s="5" t="inlineStr">
        <is>
          <t>2010-Q1</t>
        </is>
      </c>
      <c r="B641" s="16" t="n">
        <v>111.27</v>
      </c>
      <c r="C641" s="16" t="n">
        <v>111.27</v>
      </c>
    </row>
    <row r="642">
      <c r="A642" s="8" t="inlineStr">
        <is>
          <t>2010-Q2</t>
        </is>
      </c>
      <c r="B642" s="15" t="n">
        <v>241.45</v>
      </c>
      <c r="C642" s="15" t="n">
        <v>130.18</v>
      </c>
    </row>
    <row r="643">
      <c r="A643" s="5" t="inlineStr">
        <is>
          <t>2010-Q3</t>
        </is>
      </c>
      <c r="B643" s="16" t="n">
        <v>427.7</v>
      </c>
      <c r="C643" s="16" t="n">
        <v>186.25</v>
      </c>
    </row>
    <row r="644">
      <c r="A644" s="8" t="inlineStr">
        <is>
          <t>2010-Q4</t>
        </is>
      </c>
      <c r="B644" s="15" t="n">
        <v>593.6</v>
      </c>
      <c r="C644" s="15" t="n">
        <v>165.9</v>
      </c>
    </row>
    <row r="645">
      <c r="A645" s="5" t="inlineStr">
        <is>
          <t>2011-Q1</t>
        </is>
      </c>
      <c r="B645" s="16" t="n">
        <v>177.23</v>
      </c>
      <c r="C645" s="16" t="n">
        <v>177.23</v>
      </c>
    </row>
    <row r="646">
      <c r="A646" s="8" t="inlineStr">
        <is>
          <t>2011-Q2</t>
        </is>
      </c>
      <c r="B646" s="15" t="n">
        <v>382.64</v>
      </c>
      <c r="C646" s="15" t="n">
        <v>205.41</v>
      </c>
    </row>
    <row r="647">
      <c r="A647" s="5" t="inlineStr">
        <is>
          <t>2011-Q3</t>
        </is>
      </c>
      <c r="B647" s="16" t="n">
        <v>626.49</v>
      </c>
      <c r="C647" s="16" t="n">
        <v>243.85</v>
      </c>
    </row>
    <row r="648">
      <c r="A648" s="8" t="inlineStr">
        <is>
          <t>2011-Q4</t>
        </is>
      </c>
      <c r="B648" s="15" t="n">
        <v>854.76</v>
      </c>
      <c r="C648" s="15" t="n">
        <v>228.27</v>
      </c>
    </row>
    <row r="649">
      <c r="A649" s="5" t="inlineStr">
        <is>
          <t>2012-Q1</t>
        </is>
      </c>
      <c r="B649" s="16" t="n">
        <v>180.24</v>
      </c>
      <c r="C649" s="16" t="n">
        <v>180.24</v>
      </c>
    </row>
    <row r="650">
      <c r="A650" s="8" t="inlineStr">
        <is>
          <t>2012-Q2</t>
        </is>
      </c>
      <c r="B650" s="15" t="n">
        <v>389.28</v>
      </c>
      <c r="C650" s="15" t="n">
        <v>209.04</v>
      </c>
    </row>
    <row r="651">
      <c r="A651" s="5" t="inlineStr">
        <is>
          <t>2012-Q3</t>
        </is>
      </c>
      <c r="B651" s="16" t="n">
        <v>660.27</v>
      </c>
      <c r="C651" s="16" t="n">
        <v>270.99</v>
      </c>
    </row>
    <row r="652">
      <c r="A652" s="8" t="inlineStr">
        <is>
          <t>2012-Q4</t>
        </is>
      </c>
      <c r="B652" s="15" t="n">
        <v>1041.18</v>
      </c>
      <c r="C652" s="15" t="n">
        <v>380.91</v>
      </c>
    </row>
    <row r="653">
      <c r="A653" s="5" t="inlineStr">
        <is>
          <t>2013-Q1</t>
        </is>
      </c>
      <c r="B653" s="16" t="n">
        <v>198.83</v>
      </c>
      <c r="C653" s="16" t="n">
        <v>198.83</v>
      </c>
    </row>
    <row r="654">
      <c r="A654" s="8" t="inlineStr">
        <is>
          <t>2013-Q2</t>
        </is>
      </c>
      <c r="B654" s="15" t="n">
        <v>440.17</v>
      </c>
      <c r="C654" s="15" t="n">
        <v>241.34</v>
      </c>
    </row>
    <row r="655">
      <c r="A655" s="5" t="inlineStr">
        <is>
          <t>2013-Q3</t>
        </is>
      </c>
      <c r="B655" s="16" t="n">
        <v>712.11</v>
      </c>
      <c r="C655" s="16" t="n">
        <v>271.94</v>
      </c>
    </row>
    <row r="656">
      <c r="A656" s="8" t="inlineStr">
        <is>
          <t>2013-Q4</t>
        </is>
      </c>
      <c r="B656" s="15" t="n">
        <v>1045.01</v>
      </c>
      <c r="C656" s="15" t="n">
        <v>332.9</v>
      </c>
    </row>
    <row r="657">
      <c r="A657" s="5" t="inlineStr">
        <is>
          <t>2014-Q1</t>
        </is>
      </c>
      <c r="B657" s="16" t="n">
        <v>219.7</v>
      </c>
      <c r="C657" s="16" t="n">
        <v>219.7</v>
      </c>
    </row>
    <row r="658">
      <c r="A658" s="8" t="inlineStr">
        <is>
          <t>2014-Q2</t>
        </is>
      </c>
      <c r="B658" s="15" t="n">
        <v>550.72</v>
      </c>
      <c r="C658" s="15" t="n">
        <v>331.02</v>
      </c>
    </row>
    <row r="659">
      <c r="A659" s="5" t="inlineStr">
        <is>
          <t>2014-Q3</t>
        </is>
      </c>
      <c r="B659" s="16" t="n">
        <v>809.36</v>
      </c>
      <c r="C659" s="16" t="n">
        <v>258.64</v>
      </c>
    </row>
    <row r="660">
      <c r="A660" s="8" t="inlineStr">
        <is>
          <t>2014-Q4</t>
        </is>
      </c>
      <c r="B660" s="15" t="n">
        <v>1038.35</v>
      </c>
      <c r="C660" s="15" t="n">
        <v>228.99</v>
      </c>
    </row>
    <row r="661">
      <c r="A661" s="5" t="inlineStr">
        <is>
          <t>2015-Q1</t>
        </is>
      </c>
      <c r="B661" s="16" t="n">
        <v>222.36</v>
      </c>
      <c r="C661" s="16" t="n">
        <v>222.36</v>
      </c>
    </row>
    <row r="662">
      <c r="A662" s="8" t="inlineStr">
        <is>
          <t>2015-Q2</t>
        </is>
      </c>
      <c r="B662" s="15" t="n">
        <v>486.3</v>
      </c>
      <c r="C662" s="15" t="n">
        <v>263.94</v>
      </c>
    </row>
    <row r="663">
      <c r="A663" s="5" t="inlineStr">
        <is>
          <t>2015-Q3</t>
        </is>
      </c>
      <c r="B663" s="16" t="n">
        <v>746.76</v>
      </c>
      <c r="C663" s="16" t="n">
        <v>260.46</v>
      </c>
    </row>
    <row r="664">
      <c r="A664" s="8" t="inlineStr">
        <is>
          <t>2015-Q4</t>
        </is>
      </c>
      <c r="B664" s="15" t="n">
        <v>987.91</v>
      </c>
      <c r="C664" s="15" t="n">
        <v>241.15</v>
      </c>
    </row>
    <row r="665">
      <c r="A665" s="5" t="inlineStr">
        <is>
          <t>2016-Q1</t>
        </is>
      </c>
      <c r="B665" s="16" t="n">
        <v>225.23</v>
      </c>
      <c r="C665" s="16" t="n">
        <v>225.23</v>
      </c>
    </row>
    <row r="666">
      <c r="A666" s="8" t="inlineStr">
        <is>
          <t>2016-Q2</t>
        </is>
      </c>
      <c r="B666" s="15" t="n">
        <v>510.08</v>
      </c>
      <c r="C666" s="15" t="n">
        <v>284.85</v>
      </c>
    </row>
    <row r="667">
      <c r="A667" s="5" t="inlineStr">
        <is>
          <t>2016-Q3</t>
        </is>
      </c>
      <c r="B667" s="16" t="n">
        <v>887.48</v>
      </c>
      <c r="C667" s="16" t="n">
        <v>377.4</v>
      </c>
    </row>
    <row r="668">
      <c r="A668" s="8" t="inlineStr">
        <is>
          <t>2016-Q4</t>
        </is>
      </c>
      <c r="B668" s="15" t="n">
        <v>1191.53</v>
      </c>
      <c r="C668" s="15" t="n">
        <v>304.05</v>
      </c>
    </row>
    <row r="669">
      <c r="A669" s="5" t="inlineStr">
        <is>
          <t>2017-Q1</t>
        </is>
      </c>
      <c r="B669" s="16" t="n">
        <v>416.8</v>
      </c>
      <c r="C669" s="16" t="n">
        <v>416.8</v>
      </c>
    </row>
    <row r="670">
      <c r="A670" s="8" t="inlineStr">
        <is>
          <t>2017-Q2</t>
        </is>
      </c>
      <c r="B670" s="15" t="n">
        <v>1103.68</v>
      </c>
      <c r="C670" s="15" t="n">
        <v>686.88</v>
      </c>
    </row>
    <row r="671">
      <c r="A671" s="5" t="inlineStr">
        <is>
          <t>2017-Q3</t>
        </is>
      </c>
      <c r="B671" s="16" t="n">
        <v>1784.8</v>
      </c>
      <c r="C671" s="16" t="n">
        <v>681.12</v>
      </c>
    </row>
    <row r="672">
      <c r="A672" s="8" t="inlineStr">
        <is>
          <t>2017-Q4</t>
        </is>
      </c>
      <c r="B672" s="15" t="n">
        <v>2466.71</v>
      </c>
      <c r="C672" s="15" t="n">
        <v>681.91</v>
      </c>
    </row>
    <row r="673">
      <c r="A673" s="5" t="inlineStr">
        <is>
          <t>2018-Q1</t>
        </is>
      </c>
      <c r="B673" s="16" t="n">
        <v>609.63</v>
      </c>
      <c r="C673" s="16" t="n">
        <v>609.63</v>
      </c>
    </row>
    <row r="674">
      <c r="A674" s="8" t="inlineStr">
        <is>
          <t>2018-Q2</t>
        </is>
      </c>
      <c r="B674" s="15" t="n">
        <v>1373.77</v>
      </c>
      <c r="C674" s="15" t="n">
        <v>764.14</v>
      </c>
    </row>
    <row r="675">
      <c r="A675" s="5" t="inlineStr">
        <is>
          <t>2018-Q3</t>
        </is>
      </c>
      <c r="B675" s="16" t="n">
        <v>2205.49</v>
      </c>
      <c r="C675" s="16" t="n">
        <v>831.72</v>
      </c>
    </row>
    <row r="676">
      <c r="A676" s="8" t="inlineStr">
        <is>
          <t>2018-Q4</t>
        </is>
      </c>
      <c r="B676" s="15" t="n">
        <v>3137.27</v>
      </c>
      <c r="C676" s="15" t="n">
        <v>931.78</v>
      </c>
    </row>
    <row r="677">
      <c r="A677" s="5" t="inlineStr">
        <is>
          <t>2019-Q1</t>
        </is>
      </c>
      <c r="B677" s="16" t="n">
        <v>775.58</v>
      </c>
      <c r="C677" s="16" t="n">
        <v>775.58</v>
      </c>
    </row>
    <row r="678">
      <c r="A678" s="8" t="inlineStr">
        <is>
          <t>2019-Q2</t>
        </is>
      </c>
      <c r="B678" s="15" t="n">
        <v>1814.79</v>
      </c>
      <c r="C678" s="15" t="n">
        <v>1039.21</v>
      </c>
    </row>
    <row r="679">
      <c r="A679" s="5" t="inlineStr">
        <is>
          <t>2019-Q3</t>
        </is>
      </c>
      <c r="B679" s="16" t="n">
        <v>2920.31</v>
      </c>
      <c r="C679" s="16" t="n">
        <v>1105.52</v>
      </c>
    </row>
    <row r="680">
      <c r="A680" s="8" t="inlineStr">
        <is>
          <t>2019-Q4</t>
        </is>
      </c>
      <c r="B680" s="15" t="n">
        <v>3964.36</v>
      </c>
      <c r="C680" s="15" t="n">
        <v>1044.05</v>
      </c>
    </row>
    <row r="681">
      <c r="A681" s="5" t="inlineStr">
        <is>
          <t>2020-Q1</t>
        </is>
      </c>
      <c r="B681" s="16" t="n">
        <v>684.7</v>
      </c>
      <c r="C681" s="16" t="n">
        <v>684.7</v>
      </c>
    </row>
    <row r="682">
      <c r="A682" s="8" t="inlineStr">
        <is>
          <t>2020-Q2</t>
        </is>
      </c>
      <c r="B682" s="15" t="n">
        <v>1375.39</v>
      </c>
      <c r="C682" s="15" t="n">
        <v>690.6900000000001</v>
      </c>
    </row>
    <row r="683">
      <c r="A683" s="5" t="inlineStr">
        <is>
          <t>2020-Q3</t>
        </is>
      </c>
      <c r="B683" s="16" t="n">
        <v>2242.5</v>
      </c>
      <c r="C683" s="16" t="n">
        <v>867.11</v>
      </c>
    </row>
    <row r="684">
      <c r="A684" s="8" t="inlineStr">
        <is>
          <t>2020-Q4</t>
        </is>
      </c>
      <c r="B684" s="15" t="n">
        <v>3368.25</v>
      </c>
      <c r="C684" s="15" t="n">
        <v>1125.75</v>
      </c>
    </row>
    <row r="685">
      <c r="A685" s="5" t="inlineStr">
        <is>
          <t>2021-Q1</t>
        </is>
      </c>
      <c r="B685" s="16" t="n">
        <v>879.72</v>
      </c>
      <c r="C685" s="16" t="n">
        <v>879.72</v>
      </c>
    </row>
    <row r="686">
      <c r="A686" s="8" t="inlineStr">
        <is>
          <t>2021-Q2</t>
        </is>
      </c>
      <c r="B686" s="15" t="n">
        <v>1847.31</v>
      </c>
      <c r="C686" s="15" t="n">
        <v>967.59</v>
      </c>
    </row>
    <row r="687">
      <c r="A687" s="5" t="inlineStr">
        <is>
          <t>2021-Q3</t>
        </is>
      </c>
      <c r="B687" s="16" t="n">
        <v>2706.5</v>
      </c>
      <c r="C687" s="16" t="n">
        <v>859.1900000000001</v>
      </c>
    </row>
    <row r="688">
      <c r="A688" s="8" t="inlineStr">
        <is>
          <t>2021-Q4</t>
        </is>
      </c>
      <c r="B688" s="15" t="n">
        <v>4163.63</v>
      </c>
      <c r="C688" s="15" t="n">
        <v>1457.13</v>
      </c>
    </row>
    <row r="689">
      <c r="A689" s="5" t="inlineStr">
        <is>
          <t>2022-Q1</t>
        </is>
      </c>
      <c r="B689" s="16" t="n">
        <v>1111.14</v>
      </c>
      <c r="C689" s="16" t="n">
        <v>1111.14</v>
      </c>
    </row>
    <row r="690">
      <c r="A690" s="8" t="inlineStr">
        <is>
          <t>2022-Q2</t>
        </is>
      </c>
      <c r="B690" s="15" t="n">
        <v>2914.45</v>
      </c>
      <c r="C690" s="15" t="n">
        <v>1803.31</v>
      </c>
    </row>
    <row r="691">
      <c r="A691" s="5" t="inlineStr">
        <is>
          <t>2022-Q3</t>
        </is>
      </c>
      <c r="B691" s="16" t="n">
        <v>4860.13</v>
      </c>
      <c r="C691" s="16" t="n">
        <v>1945.68</v>
      </c>
    </row>
    <row r="692">
      <c r="A692" s="8" t="inlineStr">
        <is>
          <t>2022-Q4</t>
        </is>
      </c>
      <c r="B692" s="15" t="n">
        <v>7627.42</v>
      </c>
      <c r="C692" s="15" t="n">
        <v>2767.29</v>
      </c>
    </row>
    <row r="693">
      <c r="A693" s="5" t="inlineStr">
        <is>
          <t>2023-Q1</t>
        </is>
      </c>
      <c r="B693" s="16" t="n">
        <v>2435.93</v>
      </c>
      <c r="C693" s="16" t="n">
        <v>2435.93</v>
      </c>
    </row>
    <row r="694">
      <c r="A694" s="8" t="inlineStr">
        <is>
          <t>2023-Q2</t>
        </is>
      </c>
      <c r="B694" s="15" t="n">
        <v>5011.49</v>
      </c>
      <c r="C694" s="15" t="n">
        <v>2575.56</v>
      </c>
    </row>
    <row r="695">
      <c r="A695" s="5" t="inlineStr">
        <is>
          <t>2023-Q3</t>
        </is>
      </c>
      <c r="B695" s="16" t="n">
        <v>7859.72</v>
      </c>
      <c r="C695" s="16" t="n">
        <v>2848.23</v>
      </c>
    </row>
    <row r="696">
      <c r="A696" s="8" t="inlineStr">
        <is>
          <t>2023-Q4</t>
        </is>
      </c>
      <c r="B696" s="15" t="n">
        <v>11675.85</v>
      </c>
      <c r="C696" s="15" t="n">
        <v>3816.13</v>
      </c>
    </row>
    <row r="697">
      <c r="A697" s="5" t="inlineStr">
        <is>
          <t>2024-Q1</t>
        </is>
      </c>
      <c r="B697" s="16" t="n">
        <v>2735.81</v>
      </c>
      <c r="C697" s="16" t="n">
        <v>2735.81</v>
      </c>
    </row>
    <row r="698">
      <c r="A698" s="8" t="inlineStr">
        <is>
          <t>2024-Q2</t>
        </is>
      </c>
      <c r="B698" s="15" t="n">
        <v>5784.3</v>
      </c>
      <c r="C698" s="15" t="n">
        <v>3048.49</v>
      </c>
    </row>
    <row r="699">
      <c r="A699" s="5" t="inlineStr">
        <is>
          <t>2024-Q3</t>
        </is>
      </c>
      <c r="B699" s="16" t="n">
        <v>8909.450000000001</v>
      </c>
      <c r="C699" s="16" t="n">
        <v>3125.15</v>
      </c>
    </row>
    <row r="700">
      <c r="A700" s="8" t="inlineStr">
        <is>
          <t>2024-Q4</t>
        </is>
      </c>
      <c r="B700" s="15" t="n">
        <v>12254.33</v>
      </c>
      <c r="C700" s="15" t="n">
        <v>3344.88</v>
      </c>
    </row>
    <row r="701">
      <c r="A701" s="5" t="inlineStr">
        <is>
          <t>2025-Q1</t>
        </is>
      </c>
      <c r="B701" s="16" t="n">
        <v>2311.73</v>
      </c>
      <c r="C701" s="16" t="n">
        <v>2311.73</v>
      </c>
    </row>
    <row r="702">
      <c r="A702" s="8" t="inlineStr">
        <is>
          <t>2025-Q2</t>
        </is>
      </c>
      <c r="B702" s="15" t="n">
        <v>5050.8</v>
      </c>
      <c r="C702" s="15" t="n">
        <v>2739.07</v>
      </c>
    </row>
    <row r="703">
      <c r="A703" s="5" t="inlineStr">
        <is>
          <t>2025-Q3</t>
        </is>
      </c>
      <c r="B703" s="16" t="n">
        <v>8009.91</v>
      </c>
      <c r="C703" s="16" t="n">
        <v>2959.11</v>
      </c>
    </row>
    <row r="704">
      <c r="A704" s="8" t="inlineStr">
        <is>
          <t>2025-Q4</t>
        </is>
      </c>
      <c r="B704" s="15" t="n">
        <v>11511.37</v>
      </c>
      <c r="C704" s="15" t="n">
        <v>3501.46</v>
      </c>
    </row>
    <row r="705">
      <c r="A705" s="5" t="inlineStr">
        <is>
          <t>2026-Q1</t>
        </is>
      </c>
      <c r="B705" s="16" t="n">
        <v>2855.25</v>
      </c>
      <c r="C705" s="16" t="n">
        <v>2855.25</v>
      </c>
    </row>
    <row r="706">
      <c r="A706" s="8" t="inlineStr">
        <is>
          <t>2026-Q2</t>
        </is>
      </c>
      <c r="B706" s="15" t="n">
        <v>6232.67</v>
      </c>
      <c r="C706" s="15" t="n">
        <v>3377.42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21"/>
  <sheetViews>
    <sheetView workbookViewId="0">
      <pane ySplit="3" topLeftCell="A4" activePane="bottomLeft" state="frozen"/>
      <selection pane="bottomLef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22" customWidth="1" min="7" max="7"/>
    <col width="16" customWidth="1" min="8" max="8"/>
    <col width="17" customWidth="1" min="9" max="9"/>
    <col width="17" customWidth="1" min="10" max="10"/>
    <col width="22" customWidth="1" min="11" max="11"/>
  </cols>
  <sheetData>
    <row r="1">
      <c r="A1" s="1" t="inlineStr">
        <is>
          <t>Эдийн засгийн голлох салбаруудын гүйцэтгэл (Performance of the main economic sectors)</t>
        </is>
      </c>
    </row>
    <row r="2">
      <c r="A2" s="2" t="inlineStr">
        <is>
          <t>Deck slides 16-21. Each chart stacks the components' contributions with the sector's own growth as a line, in the house style. Values are fractions shown as percentages; the contributions in each row sum to that row's growth. Copy a chart straight into the deck, or read the block beneath it. Each chart shows the last three years — change CHART_WINDOW in excel_builder.py for a longer view.</t>
        </is>
      </c>
    </row>
    <row r="4">
      <c r="A4" s="6" t="inlineStr">
        <is>
          <t>МЭДЭЭЛЛИЙН ОН САР / DATA AS OF:  2026-06, 2026-07, 2026-Q2      [тайлант үе / reported month: 2026-07]</t>
        </is>
      </c>
    </row>
    <row r="6">
      <c r="A6" s="4" t="inlineStr">
        <is>
          <t>Худалдааны салбарын нийт борлуулалт — 2026-06</t>
        </is>
      </c>
    </row>
    <row r="7">
      <c r="A7" s="3" t="inlineStr">
        <is>
          <t>Үе (Period)</t>
        </is>
      </c>
      <c r="B7" s="3" t="inlineStr">
        <is>
          <t>Улаанбаатар</t>
        </is>
      </c>
      <c r="C7" s="3" t="inlineStr">
        <is>
          <t>Төвийн бүс</t>
        </is>
      </c>
      <c r="D7" s="3" t="inlineStr">
        <is>
          <t>Хангайн бүс</t>
        </is>
      </c>
      <c r="E7" s="3" t="inlineStr">
        <is>
          <t>Баруун бүс</t>
        </is>
      </c>
      <c r="F7" s="3" t="inlineStr">
        <is>
          <t>Зүүн бүс</t>
        </is>
      </c>
      <c r="G7" s="3" t="inlineStr">
        <is>
          <t>Салбарын өсөлт (Growth)</t>
        </is>
      </c>
      <c r="H7" s="3" t="inlineStr">
        <is>
          <t>Нийлбэр (check)</t>
        </is>
      </c>
    </row>
    <row r="8">
      <c r="A8" s="5" t="inlineStr">
        <is>
          <t>2023-07</t>
        </is>
      </c>
      <c r="B8" s="14" t="n">
        <v>0.231076</v>
      </c>
      <c r="C8" s="14" t="n">
        <v>0.01898</v>
      </c>
      <c r="D8" s="14" t="n">
        <v>0.005965</v>
      </c>
      <c r="E8" s="14" t="n">
        <v>0.003403</v>
      </c>
      <c r="F8" s="14" t="n">
        <v>0.004394</v>
      </c>
      <c r="G8" s="14" t="n">
        <v>0.263818</v>
      </c>
      <c r="H8" s="14">
        <f>ROUND(SUM(B8:F8)-G8,5)</f>
        <v/>
      </c>
    </row>
    <row r="9">
      <c r="A9" s="8" t="inlineStr">
        <is>
          <t>2023-08</t>
        </is>
      </c>
      <c r="B9" s="13" t="n">
        <v>0.229299</v>
      </c>
      <c r="C9" s="13" t="n">
        <v>0.018741</v>
      </c>
      <c r="D9" s="13" t="n">
        <v>0.005779</v>
      </c>
      <c r="E9" s="13" t="n">
        <v>0.003515</v>
      </c>
      <c r="F9" s="13" t="n">
        <v>0.004237</v>
      </c>
      <c r="G9" s="13" t="n">
        <v>0.261571</v>
      </c>
      <c r="H9" s="13">
        <f>ROUND(SUM(B9:F9)-G9,5)</f>
        <v/>
      </c>
    </row>
    <row r="10">
      <c r="A10" s="5" t="inlineStr">
        <is>
          <t>2023-09</t>
        </is>
      </c>
      <c r="B10" s="14" t="n">
        <v>0.210895</v>
      </c>
      <c r="C10" s="14" t="n">
        <v>0.018924</v>
      </c>
      <c r="D10" s="14" t="n">
        <v>0.005726</v>
      </c>
      <c r="E10" s="14" t="n">
        <v>0.0035</v>
      </c>
      <c r="F10" s="14" t="n">
        <v>0.004417</v>
      </c>
      <c r="G10" s="14" t="n">
        <v>0.243462</v>
      </c>
      <c r="H10" s="14">
        <f>ROUND(SUM(B10:F10)-G10,5)</f>
        <v/>
      </c>
    </row>
    <row r="11">
      <c r="A11" s="8" t="inlineStr">
        <is>
          <t>2023-10</t>
        </is>
      </c>
      <c r="B11" s="13" t="n">
        <v>0.206203</v>
      </c>
      <c r="C11" s="13" t="n">
        <v>0.01857</v>
      </c>
      <c r="D11" s="13" t="n">
        <v>0.006006</v>
      </c>
      <c r="E11" s="13" t="n">
        <v>0.003528</v>
      </c>
      <c r="F11" s="13" t="n">
        <v>0.004597</v>
      </c>
      <c r="G11" s="13" t="n">
        <v>0.238904</v>
      </c>
      <c r="H11" s="13">
        <f>ROUND(SUM(B11:F11)-G11,5)</f>
        <v/>
      </c>
    </row>
    <row r="12">
      <c r="A12" s="5" t="inlineStr">
        <is>
          <t>2023-11</t>
        </is>
      </c>
      <c r="B12" s="14" t="n">
        <v>0.203593</v>
      </c>
      <c r="C12" s="14" t="n">
        <v>0.017747</v>
      </c>
      <c r="D12" s="14" t="n">
        <v>0.005932</v>
      </c>
      <c r="E12" s="14" t="n">
        <v>0.003422</v>
      </c>
      <c r="F12" s="14" t="n">
        <v>0.00453</v>
      </c>
      <c r="G12" s="14" t="n">
        <v>0.235223</v>
      </c>
      <c r="H12" s="14">
        <f>ROUND(SUM(B12:F12)-G12,5)</f>
        <v/>
      </c>
    </row>
    <row r="13">
      <c r="A13" s="8" t="inlineStr">
        <is>
          <t>2023-12</t>
        </is>
      </c>
      <c r="B13" s="13" t="n">
        <v>0.202206</v>
      </c>
      <c r="C13" s="13" t="n">
        <v>0.01662</v>
      </c>
      <c r="D13" s="13" t="n">
        <v>0.0062</v>
      </c>
      <c r="E13" s="13" t="n">
        <v>0.003362</v>
      </c>
      <c r="F13" s="13" t="n">
        <v>0.004345</v>
      </c>
      <c r="G13" s="13" t="n">
        <v>0.232734</v>
      </c>
      <c r="H13" s="13">
        <f>ROUND(SUM(B13:F13)-G13,5)</f>
        <v/>
      </c>
    </row>
    <row r="14">
      <c r="A14" s="5" t="inlineStr">
        <is>
          <t>2024-01</t>
        </is>
      </c>
      <c r="B14" s="14" t="n">
        <v>0.207924</v>
      </c>
      <c r="C14" s="14" t="n">
        <v>0.008054</v>
      </c>
      <c r="D14" s="14" t="n">
        <v>0.007297</v>
      </c>
      <c r="E14" s="14" t="n">
        <v>0.00449</v>
      </c>
      <c r="F14" s="14" t="n">
        <v>0.005534</v>
      </c>
      <c r="G14" s="14" t="n">
        <v>0.233298</v>
      </c>
      <c r="H14" s="14">
        <f>ROUND(SUM(B14:F14)-G14,5)</f>
        <v/>
      </c>
    </row>
    <row r="15">
      <c r="A15" s="8" t="inlineStr">
        <is>
          <t>2024-02</t>
        </is>
      </c>
      <c r="B15" s="13" t="n">
        <v>0.184907</v>
      </c>
      <c r="C15" s="13" t="n">
        <v>0.009175000000000001</v>
      </c>
      <c r="D15" s="13" t="n">
        <v>0.004521</v>
      </c>
      <c r="E15" s="13" t="n">
        <v>0.003919</v>
      </c>
      <c r="F15" s="13" t="n">
        <v>0.002942</v>
      </c>
      <c r="G15" s="13" t="n">
        <v>0.205465</v>
      </c>
      <c r="H15" s="13">
        <f>ROUND(SUM(B15:F15)-G15,5)</f>
        <v/>
      </c>
    </row>
    <row r="16">
      <c r="A16" s="5" t="inlineStr">
        <is>
          <t>2024-03</t>
        </is>
      </c>
      <c r="B16" s="14" t="n">
        <v>0.172224</v>
      </c>
      <c r="C16" s="14" t="n">
        <v>0.009478</v>
      </c>
      <c r="D16" s="14" t="n">
        <v>0.00138</v>
      </c>
      <c r="E16" s="14" t="n">
        <v>0.003205</v>
      </c>
      <c r="F16" s="14" t="n">
        <v>0.002366</v>
      </c>
      <c r="G16" s="14" t="n">
        <v>0.188653</v>
      </c>
      <c r="H16" s="14">
        <f>ROUND(SUM(B16:F16)-G16,5)</f>
        <v/>
      </c>
    </row>
    <row r="17">
      <c r="A17" s="8" t="inlineStr">
        <is>
          <t>2024-04</t>
        </is>
      </c>
      <c r="B17" s="13" t="n">
        <v>0.18392</v>
      </c>
      <c r="C17" s="13" t="n">
        <v>0.010149</v>
      </c>
      <c r="D17" s="13" t="n">
        <v>0.003375</v>
      </c>
      <c r="E17" s="13" t="n">
        <v>0.003003</v>
      </c>
      <c r="F17" s="13" t="n">
        <v>0.002297</v>
      </c>
      <c r="G17" s="13" t="n">
        <v>0.202744</v>
      </c>
      <c r="H17" s="13">
        <f>ROUND(SUM(B17:F17)-G17,5)</f>
        <v/>
      </c>
    </row>
    <row r="18">
      <c r="A18" s="5" t="inlineStr">
        <is>
          <t>2024-05</t>
        </is>
      </c>
      <c r="B18" s="14" t="n">
        <v>0.176408</v>
      </c>
      <c r="C18" s="14" t="n">
        <v>0.009660999999999999</v>
      </c>
      <c r="D18" s="14" t="n">
        <v>0.003495</v>
      </c>
      <c r="E18" s="14" t="n">
        <v>0.002949</v>
      </c>
      <c r="F18" s="14" t="n">
        <v>0.002679</v>
      </c>
      <c r="G18" s="14" t="n">
        <v>0.195192</v>
      </c>
      <c r="H18" s="14">
        <f>ROUND(SUM(B18:F18)-G18,5)</f>
        <v/>
      </c>
    </row>
    <row r="19">
      <c r="A19" s="8" t="inlineStr">
        <is>
          <t>2024-06</t>
        </is>
      </c>
      <c r="B19" s="13" t="n">
        <v>0.144887</v>
      </c>
      <c r="C19" s="13" t="n">
        <v>0.009124</v>
      </c>
      <c r="D19" s="13" t="n">
        <v>0.003486</v>
      </c>
      <c r="E19" s="13" t="n">
        <v>0.003204</v>
      </c>
      <c r="F19" s="13" t="n">
        <v>0.002635</v>
      </c>
      <c r="G19" s="13" t="n">
        <v>0.163336</v>
      </c>
      <c r="H19" s="13">
        <f>ROUND(SUM(B19:F19)-G19,5)</f>
        <v/>
      </c>
    </row>
    <row r="20">
      <c r="A20" s="5" t="inlineStr">
        <is>
          <t>2024-07</t>
        </is>
      </c>
      <c r="B20" s="14" t="n">
        <v>0.144368</v>
      </c>
      <c r="C20" s="14" t="n">
        <v>0.010756</v>
      </c>
      <c r="D20" s="14" t="n">
        <v>0.004609</v>
      </c>
      <c r="E20" s="14" t="n">
        <v>0.003527</v>
      </c>
      <c r="F20" s="14" t="n">
        <v>0.00232</v>
      </c>
      <c r="G20" s="14" t="n">
        <v>0.16558</v>
      </c>
      <c r="H20" s="14">
        <f>ROUND(SUM(B20:F20)-G20,5)</f>
        <v/>
      </c>
    </row>
    <row r="21">
      <c r="A21" s="8" t="inlineStr">
        <is>
          <t>2024-08</t>
        </is>
      </c>
      <c r="B21" s="13" t="n">
        <v>0.128684</v>
      </c>
      <c r="C21" s="13" t="n">
        <v>0.010432</v>
      </c>
      <c r="D21" s="13" t="n">
        <v>0.004756</v>
      </c>
      <c r="E21" s="13" t="n">
        <v>0.003507</v>
      </c>
      <c r="F21" s="13" t="n">
        <v>0.002489</v>
      </c>
      <c r="G21" s="13" t="n">
        <v>0.149869</v>
      </c>
      <c r="H21" s="13">
        <f>ROUND(SUM(B21:F21)-G21,5)</f>
        <v/>
      </c>
    </row>
    <row r="22">
      <c r="A22" s="5" t="inlineStr">
        <is>
          <t>2024-09</t>
        </is>
      </c>
      <c r="B22" s="14" t="n">
        <v>0.136458</v>
      </c>
      <c r="C22" s="14" t="n">
        <v>0.008607999999999999</v>
      </c>
      <c r="D22" s="14" t="n">
        <v>0.004763</v>
      </c>
      <c r="E22" s="14" t="n">
        <v>0.003424</v>
      </c>
      <c r="F22" s="14" t="n">
        <v>0.002072</v>
      </c>
      <c r="G22" s="14" t="n">
        <v>0.155324</v>
      </c>
      <c r="H22" s="14">
        <f>ROUND(SUM(B22:F22)-G22,5)</f>
        <v/>
      </c>
    </row>
    <row r="23">
      <c r="A23" s="8" t="inlineStr">
        <is>
          <t>2024-10</t>
        </is>
      </c>
      <c r="B23" s="13" t="n">
        <v>0.131065</v>
      </c>
      <c r="C23" s="13" t="n">
        <v>0.008789999999999999</v>
      </c>
      <c r="D23" s="13" t="n">
        <v>0.004491</v>
      </c>
      <c r="E23" s="13" t="n">
        <v>0.003344</v>
      </c>
      <c r="F23" s="13" t="n">
        <v>0.001714</v>
      </c>
      <c r="G23" s="13" t="n">
        <v>0.149404</v>
      </c>
      <c r="H23" s="13">
        <f>ROUND(SUM(B23:F23)-G23,5)</f>
        <v/>
      </c>
    </row>
    <row r="24">
      <c r="A24" s="5" t="inlineStr">
        <is>
          <t>2024-11</t>
        </is>
      </c>
      <c r="B24" s="14" t="n">
        <v>0.122361</v>
      </c>
      <c r="C24" s="14" t="n">
        <v>0.008186000000000001</v>
      </c>
      <c r="D24" s="14" t="n">
        <v>0.004468</v>
      </c>
      <c r="E24" s="14" t="n">
        <v>0.003001</v>
      </c>
      <c r="F24" s="14" t="n">
        <v>0.00143</v>
      </c>
      <c r="G24" s="14" t="n">
        <v>0.139447</v>
      </c>
      <c r="H24" s="14">
        <f>ROUND(SUM(B24:F24)-G24,5)</f>
        <v/>
      </c>
    </row>
    <row r="25">
      <c r="A25" s="8" t="inlineStr">
        <is>
          <t>2024-12</t>
        </is>
      </c>
      <c r="B25" s="13" t="n">
        <v>0.119098</v>
      </c>
      <c r="C25" s="13" t="n">
        <v>0.007741</v>
      </c>
      <c r="D25" s="13" t="n">
        <v>0.004183</v>
      </c>
      <c r="E25" s="13" t="n">
        <v>0.003005</v>
      </c>
      <c r="F25" s="13" t="n">
        <v>0.001416</v>
      </c>
      <c r="G25" s="13" t="n">
        <v>0.135444</v>
      </c>
      <c r="H25" s="13">
        <f>ROUND(SUM(B25:F25)-G25,5)</f>
        <v/>
      </c>
    </row>
    <row r="26">
      <c r="A26" s="5" t="inlineStr">
        <is>
          <t>2025-01</t>
        </is>
      </c>
      <c r="B26" s="14" t="n">
        <v>-0.009682</v>
      </c>
      <c r="C26" s="14" t="n">
        <v>0.007522</v>
      </c>
      <c r="D26" s="14" t="n">
        <v>-0.00021</v>
      </c>
      <c r="E26" s="14" t="n">
        <v>-0.000147</v>
      </c>
      <c r="F26" s="14" t="n">
        <v>-0.002155</v>
      </c>
      <c r="G26" s="14" t="n">
        <v>-0.004672</v>
      </c>
      <c r="H26" s="14">
        <f>ROUND(SUM(B26:F26)-G26,5)</f>
        <v/>
      </c>
    </row>
    <row r="27">
      <c r="A27" s="8" t="inlineStr">
        <is>
          <t>2025-02</t>
        </is>
      </c>
      <c r="B27" s="13" t="n">
        <v>0.0577</v>
      </c>
      <c r="C27" s="13" t="n">
        <v>0.00839</v>
      </c>
      <c r="D27" s="13" t="n">
        <v>0.00326</v>
      </c>
      <c r="E27" s="13" t="n">
        <v>0.001045</v>
      </c>
      <c r="F27" s="13" t="n">
        <v>-0.000159</v>
      </c>
      <c r="G27" s="13" t="n">
        <v>0.07023600000000001</v>
      </c>
      <c r="H27" s="13">
        <f>ROUND(SUM(B27:F27)-G27,5)</f>
        <v/>
      </c>
    </row>
    <row r="28">
      <c r="A28" s="5" t="inlineStr">
        <is>
          <t>2025-03</t>
        </is>
      </c>
      <c r="B28" s="14" t="n">
        <v>0.008809000000000001</v>
      </c>
      <c r="C28" s="14" t="n">
        <v>0.003712</v>
      </c>
      <c r="D28" s="14" t="n">
        <v>0.003069</v>
      </c>
      <c r="E28" s="14" t="n">
        <v>0.0008140000000000001</v>
      </c>
      <c r="F28" s="14" t="n">
        <v>-0.000168</v>
      </c>
      <c r="G28" s="14" t="n">
        <v>0.016236</v>
      </c>
      <c r="H28" s="14">
        <f>ROUND(SUM(B28:F28)-G28,5)</f>
        <v/>
      </c>
    </row>
    <row r="29">
      <c r="A29" s="8" t="inlineStr">
        <is>
          <t>2025-04</t>
        </is>
      </c>
      <c r="B29" s="13" t="n">
        <v>-0.006095</v>
      </c>
      <c r="C29" s="13" t="n">
        <v>0.003473</v>
      </c>
      <c r="D29" s="13" t="n">
        <v>0.003138</v>
      </c>
      <c r="E29" s="13" t="n">
        <v>0.000406</v>
      </c>
      <c r="F29" s="13" t="n">
        <v>-8e-06</v>
      </c>
      <c r="G29" s="13" t="n">
        <v>0.000913</v>
      </c>
      <c r="H29" s="13">
        <f>ROUND(SUM(B29:F29)-G29,5)</f>
        <v/>
      </c>
    </row>
    <row r="30">
      <c r="A30" s="5" t="inlineStr">
        <is>
          <t>2025-05</t>
        </is>
      </c>
      <c r="B30" s="14" t="n">
        <v>-0.008770999999999999</v>
      </c>
      <c r="C30" s="14" t="n">
        <v>0.003093</v>
      </c>
      <c r="D30" s="14" t="n">
        <v>0.003509</v>
      </c>
      <c r="E30" s="14" t="n">
        <v>0.000373</v>
      </c>
      <c r="F30" s="14" t="n">
        <v>-0.0005240000000000001</v>
      </c>
      <c r="G30" s="14" t="n">
        <v>-0.00232</v>
      </c>
      <c r="H30" s="14">
        <f>ROUND(SUM(B30:F30)-G30,5)</f>
        <v/>
      </c>
    </row>
    <row r="31">
      <c r="A31" s="8" t="inlineStr">
        <is>
          <t>2025-06</t>
        </is>
      </c>
      <c r="B31" s="13" t="n">
        <v>0.000111</v>
      </c>
      <c r="C31" s="13" t="n">
        <v>0.003526</v>
      </c>
      <c r="D31" s="13" t="n">
        <v>0.003375</v>
      </c>
      <c r="E31" s="13" t="n">
        <v>0.000138</v>
      </c>
      <c r="F31" s="13" t="n">
        <v>-0.00087</v>
      </c>
      <c r="G31" s="13" t="n">
        <v>0.006279</v>
      </c>
      <c r="H31" s="13">
        <f>ROUND(SUM(B31:F31)-G31,5)</f>
        <v/>
      </c>
    </row>
    <row r="32">
      <c r="A32" s="5" t="inlineStr">
        <is>
          <t>2025-07</t>
        </is>
      </c>
      <c r="B32" s="14" t="n">
        <v>0.005853</v>
      </c>
      <c r="C32" s="14" t="n">
        <v>0.002212</v>
      </c>
      <c r="D32" s="14" t="n">
        <v>0.003794</v>
      </c>
      <c r="E32" s="14" t="n">
        <v>0.000537</v>
      </c>
      <c r="F32" s="14" t="n">
        <v>-0.000207</v>
      </c>
      <c r="G32" s="14" t="n">
        <v>0.012189</v>
      </c>
      <c r="H32" s="14">
        <f>ROUND(SUM(B32:F32)-G32,5)</f>
        <v/>
      </c>
    </row>
    <row r="33">
      <c r="A33" s="8" t="inlineStr">
        <is>
          <t>2025-08</t>
        </is>
      </c>
      <c r="B33" s="13" t="n">
        <v>0.012558</v>
      </c>
      <c r="C33" s="13" t="n">
        <v>0.002347</v>
      </c>
      <c r="D33" s="13" t="n">
        <v>0.003678</v>
      </c>
      <c r="E33" s="13" t="n">
        <v>0.000399</v>
      </c>
      <c r="F33" s="13" t="n">
        <v>-0.00053</v>
      </c>
      <c r="G33" s="13" t="n">
        <v>0.018452</v>
      </c>
      <c r="H33" s="13">
        <f>ROUND(SUM(B33:F33)-G33,5)</f>
        <v/>
      </c>
    </row>
    <row r="34">
      <c r="A34" s="5" t="inlineStr">
        <is>
          <t>2025-09</t>
        </is>
      </c>
      <c r="B34" s="14" t="n">
        <v>0.014273</v>
      </c>
      <c r="C34" s="14" t="n">
        <v>0.003219</v>
      </c>
      <c r="D34" s="14" t="n">
        <v>0.003292</v>
      </c>
      <c r="E34" s="14" t="n">
        <v>0.000494</v>
      </c>
      <c r="F34" s="14" t="n">
        <v>-7.499999999999999e-05</v>
      </c>
      <c r="G34" s="14" t="n">
        <v>0.021204</v>
      </c>
      <c r="H34" s="14">
        <f>ROUND(SUM(B34:F34)-G34,5)</f>
        <v/>
      </c>
    </row>
    <row r="35">
      <c r="A35" s="8" t="inlineStr">
        <is>
          <t>2025-10</t>
        </is>
      </c>
      <c r="B35" s="13" t="n">
        <v>0.015202</v>
      </c>
      <c r="C35" s="13" t="n">
        <v>0.003327</v>
      </c>
      <c r="D35" s="13" t="n">
        <v>0.003097</v>
      </c>
      <c r="E35" s="13" t="n">
        <v>0.000565</v>
      </c>
      <c r="F35" s="13" t="n">
        <v>0.000176</v>
      </c>
      <c r="G35" s="13" t="n">
        <v>0.022367</v>
      </c>
      <c r="H35" s="13">
        <f>ROUND(SUM(B35:F35)-G35,5)</f>
        <v/>
      </c>
    </row>
    <row r="36">
      <c r="A36" s="5" t="inlineStr">
        <is>
          <t>2025-11</t>
        </is>
      </c>
      <c r="B36" s="14" t="n">
        <v>0.016423</v>
      </c>
      <c r="C36" s="14" t="n">
        <v>0.003621</v>
      </c>
      <c r="D36" s="14" t="n">
        <v>0.002777</v>
      </c>
      <c r="E36" s="14" t="n">
        <v>0.000594</v>
      </c>
      <c r="F36" s="14" t="n">
        <v>0.000394</v>
      </c>
      <c r="G36" s="14" t="n">
        <v>0.02381</v>
      </c>
      <c r="H36" s="14">
        <f>ROUND(SUM(B36:F36)-G36,5)</f>
        <v/>
      </c>
    </row>
    <row r="37">
      <c r="A37" s="8" t="inlineStr">
        <is>
          <t>2025-12</t>
        </is>
      </c>
      <c r="B37" s="13" t="n">
        <v>0.022708</v>
      </c>
      <c r="C37" s="13" t="n">
        <v>0.003311</v>
      </c>
      <c r="D37" s="13" t="n">
        <v>0.002315</v>
      </c>
      <c r="E37" s="13" t="n">
        <v>0.000358</v>
      </c>
      <c r="F37" s="13" t="n">
        <v>0.000531</v>
      </c>
      <c r="G37" s="13" t="n">
        <v>0.029224</v>
      </c>
      <c r="H37" s="13">
        <f>ROUND(SUM(B37:F37)-G37,5)</f>
        <v/>
      </c>
    </row>
    <row r="38">
      <c r="A38" s="5" t="inlineStr">
        <is>
          <t>2026-01</t>
        </is>
      </c>
      <c r="B38" s="14" t="n">
        <v>0.040491</v>
      </c>
      <c r="C38" s="14" t="n">
        <v>0.000818</v>
      </c>
      <c r="D38" s="14" t="n">
        <v>0.002488</v>
      </c>
      <c r="E38" s="14" t="n">
        <v>9.3e-05</v>
      </c>
      <c r="F38" s="14" t="n">
        <v>0.001071</v>
      </c>
      <c r="G38" s="14" t="n">
        <v>0.044962</v>
      </c>
      <c r="H38" s="14">
        <f>ROUND(SUM(B38:F38)-G38,5)</f>
        <v/>
      </c>
    </row>
    <row r="39">
      <c r="A39" s="8" t="inlineStr">
        <is>
          <t>2026-02</t>
        </is>
      </c>
      <c r="B39" s="13" t="n">
        <v>0.012009</v>
      </c>
      <c r="C39" s="13" t="n">
        <v>-0.000777</v>
      </c>
      <c r="D39" s="13" t="n">
        <v>0.002977</v>
      </c>
      <c r="E39" s="13" t="n">
        <v>0.000232</v>
      </c>
      <c r="F39" s="13" t="n">
        <v>0.000133</v>
      </c>
      <c r="G39" s="13" t="n">
        <v>0.014574</v>
      </c>
      <c r="H39" s="13">
        <f>ROUND(SUM(B39:F39)-G39,5)</f>
        <v/>
      </c>
    </row>
    <row r="40">
      <c r="A40" s="5" t="inlineStr">
        <is>
          <t>2026-03</t>
        </is>
      </c>
      <c r="B40" s="14" t="n">
        <v>0.052866</v>
      </c>
      <c r="C40" s="14" t="n">
        <v>0.003797</v>
      </c>
      <c r="D40" s="14" t="n">
        <v>0.003603</v>
      </c>
      <c r="E40" s="14" t="n">
        <v>0.000807</v>
      </c>
      <c r="F40" s="14" t="n">
        <v>0.0007649999999999999</v>
      </c>
      <c r="G40" s="14" t="n">
        <v>0.061839</v>
      </c>
      <c r="H40" s="14">
        <f>ROUND(SUM(B40:F40)-G40,5)</f>
        <v/>
      </c>
    </row>
    <row r="41">
      <c r="A41" s="8" t="inlineStr">
        <is>
          <t>2026-04</t>
        </is>
      </c>
      <c r="B41" s="13" t="n">
        <v>0.08634500000000001</v>
      </c>
      <c r="C41" s="13" t="n">
        <v>0.005982</v>
      </c>
      <c r="D41" s="13" t="n">
        <v>0.003985</v>
      </c>
      <c r="E41" s="13" t="n">
        <v>0.000926</v>
      </c>
      <c r="F41" s="13" t="n">
        <v>0.000766</v>
      </c>
      <c r="G41" s="13" t="n">
        <v>0.09800499999999999</v>
      </c>
      <c r="H41" s="13">
        <f>ROUND(SUM(B41:F41)-G41,5)</f>
        <v/>
      </c>
    </row>
    <row r="42">
      <c r="A42" s="5" t="inlineStr">
        <is>
          <t>2026-05</t>
        </is>
      </c>
      <c r="B42" s="14" t="n">
        <v>0.082827</v>
      </c>
      <c r="C42" s="14" t="n">
        <v>0.006809</v>
      </c>
      <c r="D42" s="14" t="n">
        <v>0.004016</v>
      </c>
      <c r="E42" s="14" t="n">
        <v>0.00088</v>
      </c>
      <c r="F42" s="14" t="n">
        <v>0.000657</v>
      </c>
      <c r="G42" s="14" t="n">
        <v>0.095189</v>
      </c>
      <c r="H42" s="14">
        <f>ROUND(SUM(B42:F42)-G42,5)</f>
        <v/>
      </c>
    </row>
    <row r="43">
      <c r="A43" s="8" t="inlineStr">
        <is>
          <t>2026-06</t>
        </is>
      </c>
      <c r="B43" s="13" t="n">
        <v>0.085952</v>
      </c>
      <c r="C43" s="13" t="n">
        <v>0.008730999999999999</v>
      </c>
      <c r="D43" s="13" t="n">
        <v>0.003907</v>
      </c>
      <c r="E43" s="13" t="n">
        <v>0.001211</v>
      </c>
      <c r="F43" s="13" t="n">
        <v>0.000875</v>
      </c>
      <c r="G43" s="13" t="n">
        <v>0.100677</v>
      </c>
      <c r="H43" s="13">
        <f>ROUND(SUM(B43:F43)-G43,5)</f>
        <v/>
      </c>
    </row>
    <row r="44">
      <c r="A44" s="5" t="inlineStr">
        <is>
          <t>Шалгалт: сүүлийн багана бүх мөрөнд 0 байх ёстой (the check column must read 0 on every row — the bars stack up to the line)</t>
        </is>
      </c>
    </row>
    <row r="67">
      <c r="A67" s="4" t="inlineStr">
        <is>
          <t>Зочид буудлын салбарын орлого — 2026-06</t>
        </is>
      </c>
    </row>
    <row r="68">
      <c r="A68" s="3" t="inlineStr">
        <is>
          <t>Үе (Period)</t>
        </is>
      </c>
      <c r="B68" s="3" t="inlineStr">
        <is>
          <t>Улаанбаатар</t>
        </is>
      </c>
      <c r="C68" s="3" t="inlineStr">
        <is>
          <t>Төвийн бүс</t>
        </is>
      </c>
      <c r="D68" s="3" t="inlineStr">
        <is>
          <t>Хангайн бүс</t>
        </is>
      </c>
      <c r="E68" s="3" t="inlineStr">
        <is>
          <t>Зүүн бүс</t>
        </is>
      </c>
      <c r="F68" s="3" t="inlineStr">
        <is>
          <t>Баруун бүс</t>
        </is>
      </c>
      <c r="G68" s="3" t="inlineStr">
        <is>
          <t>Салбарын өсөлт (Growth)</t>
        </is>
      </c>
      <c r="H68" s="3" t="inlineStr">
        <is>
          <t>Нийлбэр (check)</t>
        </is>
      </c>
    </row>
    <row r="69">
      <c r="A69" s="5" t="inlineStr">
        <is>
          <t>2023-07</t>
        </is>
      </c>
      <c r="B69" s="14" t="n">
        <v>0.320337</v>
      </c>
      <c r="C69" s="14" t="n">
        <v>0.028804</v>
      </c>
      <c r="D69" s="14" t="n">
        <v>0.024767</v>
      </c>
      <c r="E69" s="14" t="n">
        <v>0.005673</v>
      </c>
      <c r="F69" s="14" t="n">
        <v>0.013805</v>
      </c>
      <c r="G69" s="14" t="n">
        <v>0.393385</v>
      </c>
      <c r="H69" s="14">
        <f>ROUND(SUM(B69:F69)-G69,5)</f>
        <v/>
      </c>
    </row>
    <row r="70">
      <c r="A70" s="8" t="inlineStr">
        <is>
          <t>2023-08</t>
        </is>
      </c>
      <c r="B70" s="13" t="n">
        <v>0.340005</v>
      </c>
      <c r="C70" s="13" t="n">
        <v>0.028781</v>
      </c>
      <c r="D70" s="13" t="n">
        <v>0.026404</v>
      </c>
      <c r="E70" s="13" t="n">
        <v>0.006642</v>
      </c>
      <c r="F70" s="13" t="n">
        <v>0.013954</v>
      </c>
      <c r="G70" s="13" t="n">
        <v>0.415787</v>
      </c>
      <c r="H70" s="13">
        <f>ROUND(SUM(B70:F70)-G70,5)</f>
        <v/>
      </c>
    </row>
    <row r="71">
      <c r="A71" s="5" t="inlineStr">
        <is>
          <t>2023-09</t>
        </is>
      </c>
      <c r="B71" s="14" t="n">
        <v>0.323969</v>
      </c>
      <c r="C71" s="14" t="n">
        <v>0.029485</v>
      </c>
      <c r="D71" s="14" t="n">
        <v>0.028849</v>
      </c>
      <c r="E71" s="14" t="n">
        <v>0.007068</v>
      </c>
      <c r="F71" s="14" t="n">
        <v>0.015182</v>
      </c>
      <c r="G71" s="14" t="n">
        <v>0.404553</v>
      </c>
      <c r="H71" s="14">
        <f>ROUND(SUM(B71:F71)-G71,5)</f>
        <v/>
      </c>
    </row>
    <row r="72">
      <c r="A72" s="8" t="inlineStr">
        <is>
          <t>2023-10</t>
        </is>
      </c>
      <c r="B72" s="13" t="n">
        <v>0.312924</v>
      </c>
      <c r="C72" s="13" t="n">
        <v>0.02814</v>
      </c>
      <c r="D72" s="13" t="n">
        <v>0.030023</v>
      </c>
      <c r="E72" s="13" t="n">
        <v>0.007384</v>
      </c>
      <c r="F72" s="13" t="n">
        <v>0.015587</v>
      </c>
      <c r="G72" s="13" t="n">
        <v>0.394058</v>
      </c>
      <c r="H72" s="13">
        <f>ROUND(SUM(B72:F72)-G72,5)</f>
        <v/>
      </c>
    </row>
    <row r="73">
      <c r="A73" s="5" t="inlineStr">
        <is>
          <t>2023-11</t>
        </is>
      </c>
      <c r="B73" s="14" t="n">
        <v>0.304151</v>
      </c>
      <c r="C73" s="14" t="n">
        <v>0.024855</v>
      </c>
      <c r="D73" s="14" t="n">
        <v>0.034805</v>
      </c>
      <c r="E73" s="14" t="n">
        <v>0.007861</v>
      </c>
      <c r="F73" s="14" t="n">
        <v>0.016362</v>
      </c>
      <c r="G73" s="14" t="n">
        <v>0.388034</v>
      </c>
      <c r="H73" s="14">
        <f>ROUND(SUM(B73:F73)-G73,5)</f>
        <v/>
      </c>
    </row>
    <row r="74">
      <c r="A74" s="8" t="inlineStr">
        <is>
          <t>2023-12</t>
        </is>
      </c>
      <c r="B74" s="13" t="n">
        <v>0.293444</v>
      </c>
      <c r="C74" s="13" t="n">
        <v>0.020907</v>
      </c>
      <c r="D74" s="13" t="n">
        <v>0.037151</v>
      </c>
      <c r="E74" s="13" t="n">
        <v>0.003458</v>
      </c>
      <c r="F74" s="13" t="n">
        <v>0.016585</v>
      </c>
      <c r="G74" s="13" t="n">
        <v>0.371544</v>
      </c>
      <c r="H74" s="13">
        <f>ROUND(SUM(B74:F74)-G74,5)</f>
        <v/>
      </c>
    </row>
    <row r="75">
      <c r="A75" s="5" t="inlineStr">
        <is>
          <t>2024-01</t>
        </is>
      </c>
      <c r="B75" s="14" t="n">
        <v>0.04512</v>
      </c>
      <c r="C75" s="14" t="n">
        <v>0.003526</v>
      </c>
      <c r="D75" s="14" t="n">
        <v>0.043991</v>
      </c>
      <c r="E75" s="14" t="n">
        <v>0.000917</v>
      </c>
      <c r="F75" s="14" t="n">
        <v>0.0006310000000000001</v>
      </c>
      <c r="G75" s="14" t="n">
        <v>0.094183</v>
      </c>
      <c r="H75" s="14">
        <f>ROUND(SUM(B75:F75)-G75,5)</f>
        <v/>
      </c>
    </row>
    <row r="76">
      <c r="A76" s="8" t="inlineStr">
        <is>
          <t>2024-02</t>
        </is>
      </c>
      <c r="B76" s="13" t="n">
        <v>0.054939</v>
      </c>
      <c r="C76" s="13" t="n">
        <v>0.003634</v>
      </c>
      <c r="D76" s="13" t="n">
        <v>0.052242</v>
      </c>
      <c r="E76" s="13" t="n">
        <v>0.00022</v>
      </c>
      <c r="F76" s="13" t="n">
        <v>-0.001205</v>
      </c>
      <c r="G76" s="13" t="n">
        <v>0.109831</v>
      </c>
      <c r="H76" s="13">
        <f>ROUND(SUM(B76:F76)-G76,5)</f>
        <v/>
      </c>
    </row>
    <row r="77">
      <c r="A77" s="5" t="inlineStr">
        <is>
          <t>2024-03</t>
        </is>
      </c>
      <c r="B77" s="14" t="n">
        <v>0.04241</v>
      </c>
      <c r="C77" s="14" t="n">
        <v>-0.000487</v>
      </c>
      <c r="D77" s="14" t="n">
        <v>0.045821</v>
      </c>
      <c r="E77" s="14" t="n">
        <v>-0.001012</v>
      </c>
      <c r="F77" s="14" t="n">
        <v>0.003382</v>
      </c>
      <c r="G77" s="14" t="n">
        <v>0.090113</v>
      </c>
      <c r="H77" s="14">
        <f>ROUND(SUM(B77:F77)-G77,5)</f>
        <v/>
      </c>
    </row>
    <row r="78">
      <c r="A78" s="8" t="inlineStr">
        <is>
          <t>2024-04</t>
        </is>
      </c>
      <c r="B78" s="13" t="n">
        <v>0.07709000000000001</v>
      </c>
      <c r="C78" s="13" t="n">
        <v>0.005198</v>
      </c>
      <c r="D78" s="13" t="n">
        <v>0.048713</v>
      </c>
      <c r="E78" s="13" t="n">
        <v>-0.000387</v>
      </c>
      <c r="F78" s="13" t="n">
        <v>0.00654</v>
      </c>
      <c r="G78" s="13" t="n">
        <v>0.137154</v>
      </c>
      <c r="H78" s="13">
        <f>ROUND(SUM(B78:F78)-G78,5)</f>
        <v/>
      </c>
    </row>
    <row r="79">
      <c r="A79" s="5" t="inlineStr">
        <is>
          <t>2024-05</t>
        </is>
      </c>
      <c r="B79" s="14" t="n">
        <v>0.07732</v>
      </c>
      <c r="C79" s="14" t="n">
        <v>0.007243</v>
      </c>
      <c r="D79" s="14" t="n">
        <v>0.047614</v>
      </c>
      <c r="E79" s="14" t="n">
        <v>0.001232</v>
      </c>
      <c r="F79" s="14" t="n">
        <v>0.006939</v>
      </c>
      <c r="G79" s="14" t="n">
        <v>0.140349</v>
      </c>
      <c r="H79" s="14">
        <f>ROUND(SUM(B79:F79)-G79,5)</f>
        <v/>
      </c>
    </row>
    <row r="80">
      <c r="A80" s="8" t="inlineStr">
        <is>
          <t>2024-06</t>
        </is>
      </c>
      <c r="B80" s="13" t="n">
        <v>0.062529</v>
      </c>
      <c r="C80" s="13" t="n">
        <v>0.005975</v>
      </c>
      <c r="D80" s="13" t="n">
        <v>0.044291</v>
      </c>
      <c r="E80" s="13" t="n">
        <v>0.001333</v>
      </c>
      <c r="F80" s="13" t="n">
        <v>0.007028</v>
      </c>
      <c r="G80" s="13" t="n">
        <v>0.121156</v>
      </c>
      <c r="H80" s="13">
        <f>ROUND(SUM(B80:F80)-G80,5)</f>
        <v/>
      </c>
    </row>
    <row r="81">
      <c r="A81" s="5" t="inlineStr">
        <is>
          <t>2024-07</t>
        </is>
      </c>
      <c r="B81" s="14" t="n">
        <v>0.076404</v>
      </c>
      <c r="C81" s="14" t="n">
        <v>0.007879000000000001</v>
      </c>
      <c r="D81" s="14" t="n">
        <v>0.046825</v>
      </c>
      <c r="E81" s="14" t="n">
        <v>0.002055</v>
      </c>
      <c r="F81" s="14" t="n">
        <v>0.005336</v>
      </c>
      <c r="G81" s="14" t="n">
        <v>0.1385</v>
      </c>
      <c r="H81" s="14">
        <f>ROUND(SUM(B81:F81)-G81,5)</f>
        <v/>
      </c>
    </row>
    <row r="82">
      <c r="A82" s="8" t="inlineStr">
        <is>
          <t>2024-08</t>
        </is>
      </c>
      <c r="B82" s="13" t="n">
        <v>0.098663</v>
      </c>
      <c r="C82" s="13" t="n">
        <v>0.008257</v>
      </c>
      <c r="D82" s="13" t="n">
        <v>0.047205</v>
      </c>
      <c r="E82" s="13" t="n">
        <v>0.000783</v>
      </c>
      <c r="F82" s="13" t="n">
        <v>0.004497</v>
      </c>
      <c r="G82" s="13" t="n">
        <v>0.159405</v>
      </c>
      <c r="H82" s="13">
        <f>ROUND(SUM(B82:F82)-G82,5)</f>
        <v/>
      </c>
    </row>
    <row r="83">
      <c r="A83" s="5" t="inlineStr">
        <is>
          <t>2024-09</t>
        </is>
      </c>
      <c r="B83" s="14" t="n">
        <v>0.111244</v>
      </c>
      <c r="C83" s="14" t="n">
        <v>0.008751999999999999</v>
      </c>
      <c r="D83" s="14" t="n">
        <v>0.04508</v>
      </c>
      <c r="E83" s="14" t="n">
        <v>0.000613</v>
      </c>
      <c r="F83" s="14" t="n">
        <v>0.003694</v>
      </c>
      <c r="G83" s="14" t="n">
        <v>0.169383</v>
      </c>
      <c r="H83" s="14">
        <f>ROUND(SUM(B83:F83)-G83,5)</f>
        <v/>
      </c>
    </row>
    <row r="84">
      <c r="A84" s="8" t="inlineStr">
        <is>
          <t>2024-10</t>
        </is>
      </c>
      <c r="B84" s="13" t="n">
        <v>0.117916</v>
      </c>
      <c r="C84" s="13" t="n">
        <v>0.008722000000000001</v>
      </c>
      <c r="D84" s="13" t="n">
        <v>0.042989</v>
      </c>
      <c r="E84" s="13" t="n">
        <v>0.000315</v>
      </c>
      <c r="F84" s="13" t="n">
        <v>0.003307</v>
      </c>
      <c r="G84" s="13" t="n">
        <v>0.173248</v>
      </c>
      <c r="H84" s="13">
        <f>ROUND(SUM(B84:F84)-G84,5)</f>
        <v/>
      </c>
    </row>
    <row r="85">
      <c r="A85" s="5" t="inlineStr">
        <is>
          <t>2024-11</t>
        </is>
      </c>
      <c r="B85" s="14" t="n">
        <v>0.109551</v>
      </c>
      <c r="C85" s="14" t="n">
        <v>0.010644</v>
      </c>
      <c r="D85" s="14" t="n">
        <v>0.039533</v>
      </c>
      <c r="E85" s="14" t="n">
        <v>0.000186</v>
      </c>
      <c r="F85" s="14" t="n">
        <v>0.002847</v>
      </c>
      <c r="G85" s="14" t="n">
        <v>0.162762</v>
      </c>
      <c r="H85" s="14">
        <f>ROUND(SUM(B85:F85)-G85,5)</f>
        <v/>
      </c>
    </row>
    <row r="86">
      <c r="A86" s="8" t="inlineStr">
        <is>
          <t>2024-12</t>
        </is>
      </c>
      <c r="B86" s="13" t="n">
        <v>0.09875100000000001</v>
      </c>
      <c r="C86" s="13" t="n">
        <v>0.01115</v>
      </c>
      <c r="D86" s="13" t="n">
        <v>0.039118</v>
      </c>
      <c r="E86" s="13" t="n">
        <v>0.000245</v>
      </c>
      <c r="F86" s="13" t="n">
        <v>0.002984</v>
      </c>
      <c r="G86" s="13" t="n">
        <v>0.152247</v>
      </c>
      <c r="H86" s="13">
        <f>ROUND(SUM(B86:F86)-G86,5)</f>
        <v/>
      </c>
    </row>
    <row r="87">
      <c r="A87" s="5" t="inlineStr">
        <is>
          <t>2025-01</t>
        </is>
      </c>
      <c r="B87" s="14" t="n">
        <v>-0.070802</v>
      </c>
      <c r="C87" s="14" t="n">
        <v>0.028647</v>
      </c>
      <c r="D87" s="14" t="n">
        <v>0.039807</v>
      </c>
      <c r="E87" s="14" t="n">
        <v>0.014971</v>
      </c>
      <c r="F87" s="14" t="n">
        <v>0.008288999999999999</v>
      </c>
      <c r="G87" s="14" t="n">
        <v>0.020913</v>
      </c>
      <c r="H87" s="14">
        <f>ROUND(SUM(B87:F87)-G87,5)</f>
        <v/>
      </c>
    </row>
    <row r="88">
      <c r="A88" s="8" t="inlineStr">
        <is>
          <t>2025-02</t>
        </is>
      </c>
      <c r="B88" s="13" t="n">
        <v>0.04948</v>
      </c>
      <c r="C88" s="13" t="n">
        <v>0.021708</v>
      </c>
      <c r="D88" s="13" t="n">
        <v>0.02608</v>
      </c>
      <c r="E88" s="13" t="n">
        <v>0.013598</v>
      </c>
      <c r="F88" s="13" t="n">
        <v>0.013537</v>
      </c>
      <c r="G88" s="13" t="n">
        <v>0.124404</v>
      </c>
      <c r="H88" s="13">
        <f>ROUND(SUM(B88:F88)-G88,5)</f>
        <v/>
      </c>
    </row>
    <row r="89">
      <c r="A89" s="5" t="inlineStr">
        <is>
          <t>2025-03</t>
        </is>
      </c>
      <c r="B89" s="14" t="n">
        <v>0.031348</v>
      </c>
      <c r="C89" s="14" t="n">
        <v>0.024022</v>
      </c>
      <c r="D89" s="14" t="n">
        <v>0.021788</v>
      </c>
      <c r="E89" s="14" t="n">
        <v>0.010605</v>
      </c>
      <c r="F89" s="14" t="n">
        <v>0.009086</v>
      </c>
      <c r="G89" s="14" t="n">
        <v>0.096849</v>
      </c>
      <c r="H89" s="14">
        <f>ROUND(SUM(B89:F89)-G89,5)</f>
        <v/>
      </c>
    </row>
    <row r="90">
      <c r="A90" s="8" t="inlineStr">
        <is>
          <t>2025-04</t>
        </is>
      </c>
      <c r="B90" s="13" t="n">
        <v>0.029855</v>
      </c>
      <c r="C90" s="13" t="n">
        <v>0.020333</v>
      </c>
      <c r="D90" s="13" t="n">
        <v>0.019043</v>
      </c>
      <c r="E90" s="13" t="n">
        <v>0.008056000000000001</v>
      </c>
      <c r="F90" s="13" t="n">
        <v>0.006541</v>
      </c>
      <c r="G90" s="13" t="n">
        <v>0.083828</v>
      </c>
      <c r="H90" s="13">
        <f>ROUND(SUM(B90:F90)-G90,5)</f>
        <v/>
      </c>
    </row>
    <row r="91">
      <c r="A91" s="5" t="inlineStr">
        <is>
          <t>2025-05</t>
        </is>
      </c>
      <c r="B91" s="14" t="n">
        <v>0.026026</v>
      </c>
      <c r="C91" s="14" t="n">
        <v>0.017073</v>
      </c>
      <c r="D91" s="14" t="n">
        <v>0.017812</v>
      </c>
      <c r="E91" s="14" t="n">
        <v>0.005869</v>
      </c>
      <c r="F91" s="14" t="n">
        <v>0.006192</v>
      </c>
      <c r="G91" s="14" t="n">
        <v>0.07297099999999999</v>
      </c>
      <c r="H91" s="14">
        <f>ROUND(SUM(B91:F91)-G91,5)</f>
        <v/>
      </c>
    </row>
    <row r="92">
      <c r="A92" s="8" t="inlineStr">
        <is>
          <t>2025-06</t>
        </is>
      </c>
      <c r="B92" s="13" t="n">
        <v>0.100921</v>
      </c>
      <c r="C92" s="13" t="n">
        <v>0.016366</v>
      </c>
      <c r="D92" s="13" t="n">
        <v>0.018255</v>
      </c>
      <c r="E92" s="13" t="n">
        <v>0.005153</v>
      </c>
      <c r="F92" s="13" t="n">
        <v>0.003439</v>
      </c>
      <c r="G92" s="13" t="n">
        <v>0.144135</v>
      </c>
      <c r="H92" s="13">
        <f>ROUND(SUM(B92:F92)-G92,5)</f>
        <v/>
      </c>
    </row>
    <row r="93">
      <c r="A93" s="5" t="inlineStr">
        <is>
          <t>2025-07</t>
        </is>
      </c>
      <c r="B93" s="14" t="n">
        <v>0.136259</v>
      </c>
      <c r="C93" s="14" t="n">
        <v>0.0162</v>
      </c>
      <c r="D93" s="14" t="n">
        <v>0.028579</v>
      </c>
      <c r="E93" s="14" t="n">
        <v>0.005047</v>
      </c>
      <c r="F93" s="14" t="n">
        <v>0.007367</v>
      </c>
      <c r="G93" s="14" t="n">
        <v>0.193452</v>
      </c>
      <c r="H93" s="14">
        <f>ROUND(SUM(B93:F93)-G93,5)</f>
        <v/>
      </c>
    </row>
    <row r="94">
      <c r="A94" s="8" t="inlineStr">
        <is>
          <t>2025-08</t>
        </is>
      </c>
      <c r="B94" s="13" t="n">
        <v>0.135432</v>
      </c>
      <c r="C94" s="13" t="n">
        <v>0.018264</v>
      </c>
      <c r="D94" s="13" t="n">
        <v>0.033191</v>
      </c>
      <c r="E94" s="13" t="n">
        <v>0.005086</v>
      </c>
      <c r="F94" s="13" t="n">
        <v>0.008283</v>
      </c>
      <c r="G94" s="13" t="n">
        <v>0.200255</v>
      </c>
      <c r="H94" s="13">
        <f>ROUND(SUM(B94:F94)-G94,5)</f>
        <v/>
      </c>
    </row>
    <row r="95">
      <c r="A95" s="5" t="inlineStr">
        <is>
          <t>2025-09</t>
        </is>
      </c>
      <c r="B95" s="14" t="n">
        <v>0.145907</v>
      </c>
      <c r="C95" s="14" t="n">
        <v>0.016013</v>
      </c>
      <c r="D95" s="14" t="n">
        <v>0.034511</v>
      </c>
      <c r="E95" s="14" t="n">
        <v>0.004889</v>
      </c>
      <c r="F95" s="14" t="n">
        <v>0.008026</v>
      </c>
      <c r="G95" s="14" t="n">
        <v>0.209347</v>
      </c>
      <c r="H95" s="14">
        <f>ROUND(SUM(B95:F95)-G95,5)</f>
        <v/>
      </c>
    </row>
    <row r="96">
      <c r="A96" s="8" t="inlineStr">
        <is>
          <t>2025-10</t>
        </is>
      </c>
      <c r="B96" s="13" t="n">
        <v>0.141072</v>
      </c>
      <c r="C96" s="13" t="n">
        <v>0.016179</v>
      </c>
      <c r="D96" s="13" t="n">
        <v>0.036325</v>
      </c>
      <c r="E96" s="13" t="n">
        <v>0.004471</v>
      </c>
      <c r="F96" s="13" t="n">
        <v>0.007037</v>
      </c>
      <c r="G96" s="13" t="n">
        <v>0.205085</v>
      </c>
      <c r="H96" s="13">
        <f>ROUND(SUM(B96:F96)-G96,5)</f>
        <v/>
      </c>
    </row>
    <row r="97">
      <c r="A97" s="5" t="inlineStr">
        <is>
          <t>2025-11</t>
        </is>
      </c>
      <c r="B97" s="14" t="n">
        <v>0.13627</v>
      </c>
      <c r="C97" s="14" t="n">
        <v>0.014685</v>
      </c>
      <c r="D97" s="14" t="n">
        <v>0.035435</v>
      </c>
      <c r="E97" s="14" t="n">
        <v>0.004484</v>
      </c>
      <c r="F97" s="14" t="n">
        <v>0.005902</v>
      </c>
      <c r="G97" s="14" t="n">
        <v>0.196775</v>
      </c>
      <c r="H97" s="14">
        <f>ROUND(SUM(B97:F97)-G97,5)</f>
        <v/>
      </c>
    </row>
    <row r="98">
      <c r="A98" s="8" t="inlineStr">
        <is>
          <t>2025-12</t>
        </is>
      </c>
      <c r="B98" s="13" t="n">
        <v>0.115502</v>
      </c>
      <c r="C98" s="13" t="n">
        <v>0.012985</v>
      </c>
      <c r="D98" s="13" t="n">
        <v>0.029834</v>
      </c>
      <c r="E98" s="13" t="n">
        <v>0.003526</v>
      </c>
      <c r="F98" s="13" t="n">
        <v>0.003652</v>
      </c>
      <c r="G98" s="13" t="n">
        <v>0.165499</v>
      </c>
      <c r="H98" s="13">
        <f>ROUND(SUM(B98:F98)-G98,5)</f>
        <v/>
      </c>
    </row>
    <row r="99">
      <c r="A99" s="5" t="inlineStr">
        <is>
          <t>2026-01</t>
        </is>
      </c>
      <c r="B99" s="14" t="n">
        <v>0.05919</v>
      </c>
      <c r="C99" s="14" t="n">
        <v>0.011067</v>
      </c>
      <c r="D99" s="14" t="n">
        <v>0.004363</v>
      </c>
      <c r="E99" s="14" t="n">
        <v>-0.001787</v>
      </c>
      <c r="F99" s="14" t="n">
        <v>-0.000789</v>
      </c>
      <c r="G99" s="14" t="n">
        <v>0.072043</v>
      </c>
      <c r="H99" s="14">
        <f>ROUND(SUM(B99:F99)-G99,5)</f>
        <v/>
      </c>
    </row>
    <row r="100">
      <c r="A100" s="8" t="inlineStr">
        <is>
          <t>2026-02</t>
        </is>
      </c>
      <c r="B100" s="13" t="n">
        <v>0.013958</v>
      </c>
      <c r="C100" s="13" t="n">
        <v>0.011549</v>
      </c>
      <c r="D100" s="13" t="n">
        <v>0.005421</v>
      </c>
      <c r="E100" s="13" t="n">
        <v>3.2e-05</v>
      </c>
      <c r="F100" s="13" t="n">
        <v>4e-05</v>
      </c>
      <c r="G100" s="13" t="n">
        <v>0.030999</v>
      </c>
      <c r="H100" s="13">
        <f>ROUND(SUM(B100:F100)-G100,5)</f>
        <v/>
      </c>
    </row>
    <row r="101">
      <c r="A101" s="5" t="inlineStr">
        <is>
          <t>2026-03</t>
        </is>
      </c>
      <c r="B101" s="14" t="n">
        <v>0.056369</v>
      </c>
      <c r="C101" s="14" t="n">
        <v>0.006276</v>
      </c>
      <c r="D101" s="14" t="n">
        <v>0.009058999999999999</v>
      </c>
      <c r="E101" s="14" t="n">
        <v>0.001538</v>
      </c>
      <c r="F101" s="14" t="n">
        <v>0.000205</v>
      </c>
      <c r="G101" s="14" t="n">
        <v>0.073447</v>
      </c>
      <c r="H101" s="14">
        <f>ROUND(SUM(B101:F101)-G101,5)</f>
        <v/>
      </c>
    </row>
    <row r="102">
      <c r="A102" s="8" t="inlineStr">
        <is>
          <t>2026-04</t>
        </is>
      </c>
      <c r="B102" s="13" t="n">
        <v>0.081773</v>
      </c>
      <c r="C102" s="13" t="n">
        <v>0.008206</v>
      </c>
      <c r="D102" s="13" t="n">
        <v>0.010512</v>
      </c>
      <c r="E102" s="13" t="n">
        <v>0.001814</v>
      </c>
      <c r="F102" s="13" t="n">
        <v>0.00073</v>
      </c>
      <c r="G102" s="13" t="n">
        <v>0.103035</v>
      </c>
      <c r="H102" s="13">
        <f>ROUND(SUM(B102:F102)-G102,5)</f>
        <v/>
      </c>
    </row>
    <row r="103">
      <c r="A103" s="5" t="inlineStr">
        <is>
          <t>2026-05</t>
        </is>
      </c>
      <c r="B103" s="14" t="n">
        <v>0.09843499999999999</v>
      </c>
      <c r="C103" s="14" t="n">
        <v>0.006566</v>
      </c>
      <c r="D103" s="14" t="n">
        <v>0.008839</v>
      </c>
      <c r="E103" s="14" t="n">
        <v>0.00156</v>
      </c>
      <c r="F103" s="14" t="n">
        <v>0.001603</v>
      </c>
      <c r="G103" s="14" t="n">
        <v>0.117003</v>
      </c>
      <c r="H103" s="14">
        <f>ROUND(SUM(B103:F103)-G103,5)</f>
        <v/>
      </c>
    </row>
    <row r="104">
      <c r="A104" s="8" t="inlineStr">
        <is>
          <t>2026-06</t>
        </is>
      </c>
      <c r="B104" s="13" t="n">
        <v>0.09053799999999999</v>
      </c>
      <c r="C104" s="13" t="n">
        <v>0.014498</v>
      </c>
      <c r="D104" s="13" t="n">
        <v>0.011451</v>
      </c>
      <c r="E104" s="13" t="n">
        <v>0.003821</v>
      </c>
      <c r="F104" s="13" t="n">
        <v>0.002493</v>
      </c>
      <c r="G104" s="13" t="n">
        <v>0.122801</v>
      </c>
      <c r="H104" s="13">
        <f>ROUND(SUM(B104:F104)-G104,5)</f>
        <v/>
      </c>
    </row>
    <row r="105">
      <c r="A105" s="5" t="inlineStr">
        <is>
          <t>Шалгалт: сүүлийн багана бүх мөрөнд 0 байх ёстой (the check column must read 0 on every row — the bars stack up to the line)</t>
        </is>
      </c>
    </row>
    <row r="106">
      <c r="A106" s="3" t="inlineStr">
        <is>
          <t>Үе (Period)</t>
        </is>
      </c>
      <c r="B106" s="3" t="inlineStr">
        <is>
          <t>Тухайн үе (сая төг)</t>
        </is>
      </c>
      <c r="C106" s="3" t="inlineStr">
        <is>
          <t>Өссөн дүнгийн жилийн өсөлт</t>
        </is>
      </c>
    </row>
    <row r="107">
      <c r="A107" s="5" t="inlineStr">
        <is>
          <t>2023-07</t>
        </is>
      </c>
      <c r="B107" s="16" t="n">
        <v>27214.93</v>
      </c>
      <c r="C107" s="14" t="n">
        <v>0.393385</v>
      </c>
    </row>
    <row r="108">
      <c r="A108" s="8" t="inlineStr">
        <is>
          <t>2023-08</t>
        </is>
      </c>
      <c r="B108" s="15" t="n">
        <v>28549.63</v>
      </c>
      <c r="C108" s="13" t="n">
        <v>0.415787</v>
      </c>
    </row>
    <row r="109">
      <c r="A109" s="5" t="inlineStr">
        <is>
          <t>2023-09</t>
        </is>
      </c>
      <c r="B109" s="16" t="n">
        <v>25607.6</v>
      </c>
      <c r="C109" s="14" t="n">
        <v>0.404553</v>
      </c>
    </row>
    <row r="110">
      <c r="A110" s="8" t="inlineStr">
        <is>
          <t>2023-10</t>
        </is>
      </c>
      <c r="B110" s="15" t="n">
        <v>22275.12</v>
      </c>
      <c r="C110" s="13" t="n">
        <v>0.394058</v>
      </c>
    </row>
    <row r="111">
      <c r="A111" s="5" t="inlineStr">
        <is>
          <t>2023-11</t>
        </is>
      </c>
      <c r="B111" s="16" t="n">
        <v>20912.8</v>
      </c>
      <c r="C111" s="14" t="n">
        <v>0.388034</v>
      </c>
    </row>
    <row r="112">
      <c r="A112" s="8" t="inlineStr">
        <is>
          <t>2023-12</t>
        </is>
      </c>
      <c r="B112" s="15" t="n">
        <v>30553.34</v>
      </c>
      <c r="C112" s="13" t="n">
        <v>0.371544</v>
      </c>
    </row>
    <row r="113">
      <c r="A113" s="5" t="inlineStr">
        <is>
          <t>2024-01</t>
        </is>
      </c>
      <c r="B113" s="16" t="n">
        <v>15545.88</v>
      </c>
      <c r="C113" s="14" t="n">
        <v>0.094183</v>
      </c>
    </row>
    <row r="114">
      <c r="A114" s="8" t="inlineStr">
        <is>
          <t>2024-02</t>
        </is>
      </c>
      <c r="B114" s="15" t="n">
        <v>12892.6</v>
      </c>
      <c r="C114" s="13" t="n">
        <v>0.109831</v>
      </c>
    </row>
    <row r="115">
      <c r="A115" s="5" t="inlineStr">
        <is>
          <t>2024-03</t>
        </is>
      </c>
      <c r="B115" s="16" t="n">
        <v>18016.4</v>
      </c>
      <c r="C115" s="14" t="n">
        <v>0.090113</v>
      </c>
    </row>
    <row r="116">
      <c r="A116" s="8" t="inlineStr">
        <is>
          <t>2024-04</t>
        </is>
      </c>
      <c r="B116" s="15" t="n">
        <v>20223.82</v>
      </c>
      <c r="C116" s="13" t="n">
        <v>0.137154</v>
      </c>
    </row>
    <row r="117">
      <c r="A117" s="5" t="inlineStr">
        <is>
          <t>2024-05</t>
        </is>
      </c>
      <c r="B117" s="16" t="n">
        <v>23401.24</v>
      </c>
      <c r="C117" s="14" t="n">
        <v>0.140349</v>
      </c>
    </row>
    <row r="118">
      <c r="A118" s="8" t="inlineStr">
        <is>
          <t>2024-06</t>
        </is>
      </c>
      <c r="B118" s="15" t="n">
        <v>30052.29</v>
      </c>
      <c r="C118" s="13" t="n">
        <v>0.121156</v>
      </c>
    </row>
    <row r="119">
      <c r="A119" s="5" t="inlineStr">
        <is>
          <t>2024-07</t>
        </is>
      </c>
      <c r="B119" s="16" t="n">
        <v>32842.59</v>
      </c>
      <c r="C119" s="14" t="n">
        <v>0.1385</v>
      </c>
    </row>
    <row r="120">
      <c r="A120" s="8" t="inlineStr">
        <is>
          <t>2024-08</t>
        </is>
      </c>
      <c r="B120" s="15" t="n">
        <v>35909.55</v>
      </c>
      <c r="C120" s="13" t="n">
        <v>0.159405</v>
      </c>
    </row>
    <row r="121">
      <c r="A121" s="5" t="inlineStr">
        <is>
          <t>2024-09</t>
        </is>
      </c>
      <c r="B121" s="16" t="n">
        <v>31570.7</v>
      </c>
      <c r="C121" s="14" t="n">
        <v>0.169383</v>
      </c>
    </row>
    <row r="122">
      <c r="A122" s="8" t="inlineStr">
        <is>
          <t>2024-10</t>
        </is>
      </c>
      <c r="B122" s="15" t="n">
        <v>26862.84</v>
      </c>
      <c r="C122" s="13" t="n">
        <v>0.173248</v>
      </c>
    </row>
    <row r="123">
      <c r="A123" s="5" t="inlineStr">
        <is>
          <t>2024-11</t>
        </is>
      </c>
      <c r="B123" s="16" t="n">
        <v>22106.09</v>
      </c>
      <c r="C123" s="14" t="n">
        <v>0.162762</v>
      </c>
    </row>
    <row r="124">
      <c r="A124" s="8" t="inlineStr">
        <is>
          <t>2024-12</t>
        </is>
      </c>
      <c r="B124" s="15" t="n">
        <v>32768.68</v>
      </c>
      <c r="C124" s="13" t="n">
        <v>0.152247</v>
      </c>
    </row>
    <row r="125">
      <c r="A125" s="5" t="inlineStr">
        <is>
          <t>2025-01</t>
        </is>
      </c>
      <c r="B125" s="16" t="n">
        <v>15870.99</v>
      </c>
      <c r="C125" s="14" t="n">
        <v>0.020913</v>
      </c>
    </row>
    <row r="126">
      <c r="A126" s="8" t="inlineStr">
        <is>
          <t>2025-02</t>
        </is>
      </c>
      <c r="B126" s="15" t="n">
        <v>16105.34</v>
      </c>
      <c r="C126" s="13" t="n">
        <v>0.124404</v>
      </c>
    </row>
    <row r="127">
      <c r="A127" s="5" t="inlineStr">
        <is>
          <t>2025-03</t>
        </is>
      </c>
      <c r="B127" s="16" t="n">
        <v>18977.66</v>
      </c>
      <c r="C127" s="14" t="n">
        <v>0.096849</v>
      </c>
    </row>
    <row r="128">
      <c r="A128" s="8" t="inlineStr">
        <is>
          <t>2025-04</t>
        </is>
      </c>
      <c r="B128" s="15" t="n">
        <v>21314.26</v>
      </c>
      <c r="C128" s="13" t="n">
        <v>0.083828</v>
      </c>
    </row>
    <row r="129">
      <c r="A129" s="5" t="inlineStr">
        <is>
          <t>2025-05</t>
        </is>
      </c>
      <c r="B129" s="16" t="n">
        <v>24384.9</v>
      </c>
      <c r="C129" s="14" t="n">
        <v>0.07297099999999999</v>
      </c>
    </row>
    <row r="130">
      <c r="A130" s="8" t="inlineStr">
        <is>
          <t>2025-06</t>
        </is>
      </c>
      <c r="B130" s="15" t="n">
        <v>40794.29</v>
      </c>
      <c r="C130" s="13" t="n">
        <v>0.144135</v>
      </c>
    </row>
    <row r="131">
      <c r="A131" s="5" t="inlineStr">
        <is>
          <t>2025-07</t>
        </is>
      </c>
      <c r="B131" s="16" t="n">
        <v>45120.63</v>
      </c>
      <c r="C131" s="14" t="n">
        <v>0.193452</v>
      </c>
    </row>
    <row r="132">
      <c r="A132" s="8" t="inlineStr">
        <is>
          <t>2025-08</t>
        </is>
      </c>
      <c r="B132" s="15" t="n">
        <v>44141.32</v>
      </c>
      <c r="C132" s="13" t="n">
        <v>0.200255</v>
      </c>
    </row>
    <row r="133">
      <c r="A133" s="5" t="inlineStr">
        <is>
          <t>2025-09</t>
        </is>
      </c>
      <c r="B133" s="16" t="n">
        <v>39897.19</v>
      </c>
      <c r="C133" s="14" t="n">
        <v>0.209347</v>
      </c>
    </row>
    <row r="134">
      <c r="A134" s="8" t="inlineStr">
        <is>
          <t>2025-10</t>
        </is>
      </c>
      <c r="B134" s="15" t="n">
        <v>31432.42</v>
      </c>
      <c r="C134" s="13" t="n">
        <v>0.205085</v>
      </c>
    </row>
    <row r="135">
      <c r="A135" s="5" t="inlineStr">
        <is>
          <t>2025-11</t>
        </is>
      </c>
      <c r="B135" s="16" t="n">
        <v>24400.98</v>
      </c>
      <c r="C135" s="14" t="n">
        <v>0.196775</v>
      </c>
    </row>
    <row r="136">
      <c r="A136" s="8" t="inlineStr">
        <is>
          <t>2025-12</t>
        </is>
      </c>
      <c r="B136" s="15" t="n">
        <v>29765.37</v>
      </c>
      <c r="C136" s="13" t="n">
        <v>0.165499</v>
      </c>
    </row>
    <row r="137">
      <c r="A137" s="5" t="inlineStr">
        <is>
          <t>2026-01</t>
        </is>
      </c>
      <c r="B137" s="16" t="n">
        <v>17014.39</v>
      </c>
      <c r="C137" s="14" t="n">
        <v>0.072043</v>
      </c>
    </row>
    <row r="138">
      <c r="A138" s="8" t="inlineStr">
        <is>
          <t>2026-02</t>
        </is>
      </c>
      <c r="B138" s="15" t="n">
        <v>15953.18</v>
      </c>
      <c r="C138" s="13" t="n">
        <v>0.030999</v>
      </c>
    </row>
    <row r="139">
      <c r="A139" s="5" t="inlineStr">
        <is>
          <t>2026-03</t>
        </is>
      </c>
      <c r="B139" s="16" t="n">
        <v>21728.83</v>
      </c>
      <c r="C139" s="14" t="n">
        <v>0.073447</v>
      </c>
    </row>
    <row r="140">
      <c r="A140" s="8" t="inlineStr">
        <is>
          <t>2026-04</t>
        </is>
      </c>
      <c r="B140" s="15" t="n">
        <v>25018.03</v>
      </c>
      <c r="C140" s="13" t="n">
        <v>0.103035</v>
      </c>
    </row>
    <row r="141">
      <c r="A141" s="5" t="inlineStr">
        <is>
          <t>2026-05</t>
        </is>
      </c>
      <c r="B141" s="16" t="n">
        <v>28247.43</v>
      </c>
      <c r="C141" s="14" t="n">
        <v>0.117003</v>
      </c>
    </row>
    <row r="142">
      <c r="A142" s="8" t="inlineStr">
        <is>
          <t>2026-06</t>
        </is>
      </c>
      <c r="B142" s="15" t="n">
        <v>46364.24</v>
      </c>
      <c r="C142" s="13" t="n">
        <v>0.122801</v>
      </c>
    </row>
    <row r="165">
      <c r="A165" s="4" t="inlineStr">
        <is>
          <t>Нийтийн хоолны салбарын орлого — 2026-06</t>
        </is>
      </c>
    </row>
    <row r="166">
      <c r="A166" s="3" t="inlineStr">
        <is>
          <t>Үе (Period)</t>
        </is>
      </c>
      <c r="B166" s="3" t="inlineStr">
        <is>
          <t>Улаанбаатар</t>
        </is>
      </c>
      <c r="C166" s="3" t="inlineStr">
        <is>
          <t>Төвийн бүс</t>
        </is>
      </c>
      <c r="D166" s="3" t="inlineStr">
        <is>
          <t>Хангайн бүс</t>
        </is>
      </c>
      <c r="E166" s="3" t="inlineStr">
        <is>
          <t>Зүүн бүс</t>
        </is>
      </c>
      <c r="F166" s="3" t="inlineStr">
        <is>
          <t>Баруун бүс</t>
        </is>
      </c>
      <c r="G166" s="3" t="inlineStr">
        <is>
          <t>Салбарын өсөлт (Growth)</t>
        </is>
      </c>
      <c r="H166" s="3" t="inlineStr">
        <is>
          <t>Нийлбэр (check)</t>
        </is>
      </c>
    </row>
    <row r="167">
      <c r="A167" s="5" t="inlineStr">
        <is>
          <t>2023-07</t>
        </is>
      </c>
      <c r="B167" s="14" t="n">
        <v>0.210961</v>
      </c>
      <c r="C167" s="14" t="n">
        <v>0.013515</v>
      </c>
      <c r="D167" s="14" t="n">
        <v>0.006215</v>
      </c>
      <c r="E167" s="14" t="n">
        <v>0.002805</v>
      </c>
      <c r="F167" s="14" t="n">
        <v>0.000724</v>
      </c>
      <c r="G167" s="14" t="n">
        <v>0.234219</v>
      </c>
      <c r="H167" s="14">
        <f>ROUND(SUM(B167:F167)-G167,5)</f>
        <v/>
      </c>
    </row>
    <row r="168">
      <c r="A168" s="8" t="inlineStr">
        <is>
          <t>2023-08</t>
        </is>
      </c>
      <c r="B168" s="13" t="n">
        <v>0.214284</v>
      </c>
      <c r="C168" s="13" t="n">
        <v>0.013127</v>
      </c>
      <c r="D168" s="13" t="n">
        <v>0.006392</v>
      </c>
      <c r="E168" s="13" t="n">
        <v>0.003018</v>
      </c>
      <c r="F168" s="13" t="n">
        <v>0.001084</v>
      </c>
      <c r="G168" s="13" t="n">
        <v>0.237904</v>
      </c>
      <c r="H168" s="13">
        <f>ROUND(SUM(B168:F168)-G168,5)</f>
        <v/>
      </c>
    </row>
    <row r="169">
      <c r="A169" s="5" t="inlineStr">
        <is>
          <t>2023-09</t>
        </is>
      </c>
      <c r="B169" s="14" t="n">
        <v>0.212283</v>
      </c>
      <c r="C169" s="14" t="n">
        <v>0.011011</v>
      </c>
      <c r="D169" s="14" t="n">
        <v>0.007299</v>
      </c>
      <c r="E169" s="14" t="n">
        <v>0.003332</v>
      </c>
      <c r="F169" s="14" t="n">
        <v>0.001152</v>
      </c>
      <c r="G169" s="14" t="n">
        <v>0.235076</v>
      </c>
      <c r="H169" s="14">
        <f>ROUND(SUM(B169:F169)-G169,5)</f>
        <v/>
      </c>
    </row>
    <row r="170">
      <c r="A170" s="8" t="inlineStr">
        <is>
          <t>2023-10</t>
        </is>
      </c>
      <c r="B170" s="13" t="n">
        <v>0.208163</v>
      </c>
      <c r="C170" s="13" t="n">
        <v>0.010611</v>
      </c>
      <c r="D170" s="13" t="n">
        <v>0.007707</v>
      </c>
      <c r="E170" s="13" t="n">
        <v>0.003603</v>
      </c>
      <c r="F170" s="13" t="n">
        <v>0.001161</v>
      </c>
      <c r="G170" s="13" t="n">
        <v>0.231245</v>
      </c>
      <c r="H170" s="13">
        <f>ROUND(SUM(B170:F170)-G170,5)</f>
        <v/>
      </c>
    </row>
    <row r="171">
      <c r="A171" s="5" t="inlineStr">
        <is>
          <t>2023-11</t>
        </is>
      </c>
      <c r="B171" s="14" t="n">
        <v>0.204691</v>
      </c>
      <c r="C171" s="14" t="n">
        <v>0.011267</v>
      </c>
      <c r="D171" s="14" t="n">
        <v>0.007957000000000001</v>
      </c>
      <c r="E171" s="14" t="n">
        <v>0.003784</v>
      </c>
      <c r="F171" s="14" t="n">
        <v>0.00101</v>
      </c>
      <c r="G171" s="14" t="n">
        <v>0.228709</v>
      </c>
      <c r="H171" s="14">
        <f>ROUND(SUM(B171:F171)-G171,5)</f>
        <v/>
      </c>
    </row>
    <row r="172">
      <c r="A172" s="8" t="inlineStr">
        <is>
          <t>2023-12</t>
        </is>
      </c>
      <c r="B172" s="13" t="n">
        <v>0.205684</v>
      </c>
      <c r="C172" s="13" t="n">
        <v>0.011384</v>
      </c>
      <c r="D172" s="13" t="n">
        <v>0.008337000000000001</v>
      </c>
      <c r="E172" s="13" t="n">
        <v>0.003622</v>
      </c>
      <c r="F172" s="13" t="n">
        <v>0.001069</v>
      </c>
      <c r="G172" s="13" t="n">
        <v>0.230095</v>
      </c>
      <c r="H172" s="13">
        <f>ROUND(SUM(B172:F172)-G172,5)</f>
        <v/>
      </c>
    </row>
    <row r="173">
      <c r="A173" s="5" t="inlineStr">
        <is>
          <t>2024-01</t>
        </is>
      </c>
      <c r="B173" s="14" t="n">
        <v>0.179065</v>
      </c>
      <c r="C173" s="14" t="n">
        <v>0.01333</v>
      </c>
      <c r="D173" s="14" t="n">
        <v>0.007965</v>
      </c>
      <c r="E173" s="14" t="n">
        <v>0.004166</v>
      </c>
      <c r="F173" s="14" t="n">
        <v>0.003329</v>
      </c>
      <c r="G173" s="14" t="n">
        <v>0.207856</v>
      </c>
      <c r="H173" s="14">
        <f>ROUND(SUM(B173:F173)-G173,5)</f>
        <v/>
      </c>
    </row>
    <row r="174">
      <c r="A174" s="8" t="inlineStr">
        <is>
          <t>2024-02</t>
        </is>
      </c>
      <c r="B174" s="13" t="n">
        <v>0.204676</v>
      </c>
      <c r="C174" s="13" t="n">
        <v>0.016388</v>
      </c>
      <c r="D174" s="13" t="n">
        <v>0.00851</v>
      </c>
      <c r="E174" s="13" t="n">
        <v>0.00281</v>
      </c>
      <c r="F174" s="13" t="n">
        <v>0.003538</v>
      </c>
      <c r="G174" s="13" t="n">
        <v>0.235921</v>
      </c>
      <c r="H174" s="13">
        <f>ROUND(SUM(B174:F174)-G174,5)</f>
        <v/>
      </c>
    </row>
    <row r="175">
      <c r="A175" s="5" t="inlineStr">
        <is>
          <t>2024-03</t>
        </is>
      </c>
      <c r="B175" s="14" t="n">
        <v>0.17018</v>
      </c>
      <c r="C175" s="14" t="n">
        <v>0.017885</v>
      </c>
      <c r="D175" s="14" t="n">
        <v>0.008297000000000001</v>
      </c>
      <c r="E175" s="14" t="n">
        <v>0.00252</v>
      </c>
      <c r="F175" s="14" t="n">
        <v>0.003329</v>
      </c>
      <c r="G175" s="14" t="n">
        <v>0.202212</v>
      </c>
      <c r="H175" s="14">
        <f>ROUND(SUM(B175:F175)-G175,5)</f>
        <v/>
      </c>
    </row>
    <row r="176">
      <c r="A176" s="8" t="inlineStr">
        <is>
          <t>2024-04</t>
        </is>
      </c>
      <c r="B176" s="13" t="n">
        <v>0.176919</v>
      </c>
      <c r="C176" s="13" t="n">
        <v>0.017307</v>
      </c>
      <c r="D176" s="13" t="n">
        <v>0.009257</v>
      </c>
      <c r="E176" s="13" t="n">
        <v>0.003264</v>
      </c>
      <c r="F176" s="13" t="n">
        <v>0.003972</v>
      </c>
      <c r="G176" s="13" t="n">
        <v>0.210719</v>
      </c>
      <c r="H176" s="13">
        <f>ROUND(SUM(B176:F176)-G176,5)</f>
        <v/>
      </c>
    </row>
    <row r="177">
      <c r="A177" s="5" t="inlineStr">
        <is>
          <t>2024-05</t>
        </is>
      </c>
      <c r="B177" s="14" t="n">
        <v>0.174925</v>
      </c>
      <c r="C177" s="14" t="n">
        <v>0.016493</v>
      </c>
      <c r="D177" s="14" t="n">
        <v>0.009755</v>
      </c>
      <c r="E177" s="14" t="n">
        <v>0.00402</v>
      </c>
      <c r="F177" s="14" t="n">
        <v>0.00425</v>
      </c>
      <c r="G177" s="14" t="n">
        <v>0.209444</v>
      </c>
      <c r="H177" s="14">
        <f>ROUND(SUM(B177:F177)-G177,5)</f>
        <v/>
      </c>
    </row>
    <row r="178">
      <c r="A178" s="8" t="inlineStr">
        <is>
          <t>2024-06</t>
        </is>
      </c>
      <c r="B178" s="13" t="n">
        <v>0.164353</v>
      </c>
      <c r="C178" s="13" t="n">
        <v>0.014244</v>
      </c>
      <c r="D178" s="13" t="n">
        <v>0.010578</v>
      </c>
      <c r="E178" s="13" t="n">
        <v>0.004174</v>
      </c>
      <c r="F178" s="13" t="n">
        <v>0.00459</v>
      </c>
      <c r="G178" s="13" t="n">
        <v>0.19794</v>
      </c>
      <c r="H178" s="13">
        <f>ROUND(SUM(B178:F178)-G178,5)</f>
        <v/>
      </c>
    </row>
    <row r="179">
      <c r="A179" s="5" t="inlineStr">
        <is>
          <t>2024-07</t>
        </is>
      </c>
      <c r="B179" s="14" t="n">
        <v>0.164069</v>
      </c>
      <c r="C179" s="14" t="n">
        <v>0.012116</v>
      </c>
      <c r="D179" s="14" t="n">
        <v>0.012989</v>
      </c>
      <c r="E179" s="14" t="n">
        <v>0.003806</v>
      </c>
      <c r="F179" s="14" t="n">
        <v>0.004346</v>
      </c>
      <c r="G179" s="14" t="n">
        <v>0.197326</v>
      </c>
      <c r="H179" s="14">
        <f>ROUND(SUM(B179:F179)-G179,5)</f>
        <v/>
      </c>
    </row>
    <row r="180">
      <c r="A180" s="8" t="inlineStr">
        <is>
          <t>2024-08</t>
        </is>
      </c>
      <c r="B180" s="13" t="n">
        <v>0.16072</v>
      </c>
      <c r="C180" s="13" t="n">
        <v>0.012607</v>
      </c>
      <c r="D180" s="13" t="n">
        <v>0.013225</v>
      </c>
      <c r="E180" s="13" t="n">
        <v>0.003856</v>
      </c>
      <c r="F180" s="13" t="n">
        <v>0.004154</v>
      </c>
      <c r="G180" s="13" t="n">
        <v>0.194561</v>
      </c>
      <c r="H180" s="13">
        <f>ROUND(SUM(B180:F180)-G180,5)</f>
        <v/>
      </c>
    </row>
    <row r="181">
      <c r="A181" s="5" t="inlineStr">
        <is>
          <t>2024-09</t>
        </is>
      </c>
      <c r="B181" s="14" t="n">
        <v>0.158143</v>
      </c>
      <c r="C181" s="14" t="n">
        <v>0.013188</v>
      </c>
      <c r="D181" s="14" t="n">
        <v>0.012226</v>
      </c>
      <c r="E181" s="14" t="n">
        <v>0.003786</v>
      </c>
      <c r="F181" s="14" t="n">
        <v>0.003989</v>
      </c>
      <c r="G181" s="14" t="n">
        <v>0.191333</v>
      </c>
      <c r="H181" s="14">
        <f>ROUND(SUM(B181:F181)-G181,5)</f>
        <v/>
      </c>
    </row>
    <row r="182">
      <c r="A182" s="8" t="inlineStr">
        <is>
          <t>2024-10</t>
        </is>
      </c>
      <c r="B182" s="13" t="n">
        <v>0.15053</v>
      </c>
      <c r="C182" s="13" t="n">
        <v>0.012838</v>
      </c>
      <c r="D182" s="13" t="n">
        <v>0.011189</v>
      </c>
      <c r="E182" s="13" t="n">
        <v>0.003471</v>
      </c>
      <c r="F182" s="13" t="n">
        <v>0.003917</v>
      </c>
      <c r="G182" s="13" t="n">
        <v>0.181945</v>
      </c>
      <c r="H182" s="13">
        <f>ROUND(SUM(B182:F182)-G182,5)</f>
        <v/>
      </c>
    </row>
    <row r="183">
      <c r="A183" s="5" t="inlineStr">
        <is>
          <t>2024-11</t>
        </is>
      </c>
      <c r="B183" s="14" t="n">
        <v>0.147451</v>
      </c>
      <c r="C183" s="14" t="n">
        <v>0.01192</v>
      </c>
      <c r="D183" s="14" t="n">
        <v>0.010477</v>
      </c>
      <c r="E183" s="14" t="n">
        <v>0.00342</v>
      </c>
      <c r="F183" s="14" t="n">
        <v>0.003823</v>
      </c>
      <c r="G183" s="14" t="n">
        <v>0.17709</v>
      </c>
      <c r="H183" s="14">
        <f>ROUND(SUM(B183:F183)-G183,5)</f>
        <v/>
      </c>
    </row>
    <row r="184">
      <c r="A184" s="8" t="inlineStr">
        <is>
          <t>2024-12</t>
        </is>
      </c>
      <c r="B184" s="13" t="n">
        <v>0.137849</v>
      </c>
      <c r="C184" s="13" t="n">
        <v>0.011946</v>
      </c>
      <c r="D184" s="13" t="n">
        <v>0.009497</v>
      </c>
      <c r="E184" s="13" t="n">
        <v>0.003408</v>
      </c>
      <c r="F184" s="13" t="n">
        <v>0.00362</v>
      </c>
      <c r="G184" s="13" t="n">
        <v>0.166321</v>
      </c>
      <c r="H184" s="13">
        <f>ROUND(SUM(B184:F184)-G184,5)</f>
        <v/>
      </c>
    </row>
    <row r="185">
      <c r="A185" s="5" t="inlineStr">
        <is>
          <t>2025-01</t>
        </is>
      </c>
      <c r="B185" s="14" t="n">
        <v>0.125497</v>
      </c>
      <c r="C185" s="14" t="n">
        <v>0.012699</v>
      </c>
      <c r="D185" s="14" t="n">
        <v>0.011483</v>
      </c>
      <c r="E185" s="14" t="n">
        <v>0.003603</v>
      </c>
      <c r="F185" s="14" t="n">
        <v>0.003316</v>
      </c>
      <c r="G185" s="14" t="n">
        <v>0.156597</v>
      </c>
      <c r="H185" s="14">
        <f>ROUND(SUM(B185:F185)-G185,5)</f>
        <v/>
      </c>
    </row>
    <row r="186">
      <c r="A186" s="8" t="inlineStr">
        <is>
          <t>2025-02</t>
        </is>
      </c>
      <c r="B186" s="13" t="n">
        <v>0.140664</v>
      </c>
      <c r="C186" s="13" t="n">
        <v>0.018092</v>
      </c>
      <c r="D186" s="13" t="n">
        <v>0.011309</v>
      </c>
      <c r="E186" s="13" t="n">
        <v>0.005288</v>
      </c>
      <c r="F186" s="13" t="n">
        <v>0.003572</v>
      </c>
      <c r="G186" s="13" t="n">
        <v>0.178924</v>
      </c>
      <c r="H186" s="13">
        <f>ROUND(SUM(B186:F186)-G186,5)</f>
        <v/>
      </c>
    </row>
    <row r="187">
      <c r="A187" s="5" t="inlineStr">
        <is>
          <t>2025-03</t>
        </is>
      </c>
      <c r="B187" s="14" t="n">
        <v>0.107337</v>
      </c>
      <c r="C187" s="14" t="n">
        <v>0.014111</v>
      </c>
      <c r="D187" s="14" t="n">
        <v>0.009730000000000001</v>
      </c>
      <c r="E187" s="14" t="n">
        <v>0.004759</v>
      </c>
      <c r="F187" s="14" t="n">
        <v>0.002875</v>
      </c>
      <c r="G187" s="14" t="n">
        <v>0.138813</v>
      </c>
      <c r="H187" s="14">
        <f>ROUND(SUM(B187:F187)-G187,5)</f>
        <v/>
      </c>
    </row>
    <row r="188">
      <c r="A188" s="8" t="inlineStr">
        <is>
          <t>2025-04</t>
        </is>
      </c>
      <c r="B188" s="13" t="n">
        <v>0.088465</v>
      </c>
      <c r="C188" s="13" t="n">
        <v>0.01415</v>
      </c>
      <c r="D188" s="13" t="n">
        <v>0.006975</v>
      </c>
      <c r="E188" s="13" t="n">
        <v>0.004227</v>
      </c>
      <c r="F188" s="13" t="n">
        <v>0.00241</v>
      </c>
      <c r="G188" s="13" t="n">
        <v>0.116227</v>
      </c>
      <c r="H188" s="13">
        <f>ROUND(SUM(B188:F188)-G188,5)</f>
        <v/>
      </c>
    </row>
    <row r="189">
      <c r="A189" s="5" t="inlineStr">
        <is>
          <t>2025-05</t>
        </is>
      </c>
      <c r="B189" s="14" t="n">
        <v>0.08006099999999999</v>
      </c>
      <c r="C189" s="14" t="n">
        <v>0.0127</v>
      </c>
      <c r="D189" s="14" t="n">
        <v>0.007484</v>
      </c>
      <c r="E189" s="14" t="n">
        <v>0.003632</v>
      </c>
      <c r="F189" s="14" t="n">
        <v>0.00196</v>
      </c>
      <c r="G189" s="14" t="n">
        <v>0.105837</v>
      </c>
      <c r="H189" s="14">
        <f>ROUND(SUM(B189:F189)-G189,5)</f>
        <v/>
      </c>
    </row>
    <row r="190">
      <c r="A190" s="8" t="inlineStr">
        <is>
          <t>2025-06</t>
        </is>
      </c>
      <c r="B190" s="13" t="n">
        <v>0.079609</v>
      </c>
      <c r="C190" s="13" t="n">
        <v>0.013929</v>
      </c>
      <c r="D190" s="13" t="n">
        <v>0.007034</v>
      </c>
      <c r="E190" s="13" t="n">
        <v>0.003542</v>
      </c>
      <c r="F190" s="13" t="n">
        <v>0.001684</v>
      </c>
      <c r="G190" s="13" t="n">
        <v>0.105798</v>
      </c>
      <c r="H190" s="13">
        <f>ROUND(SUM(B190:F190)-G190,5)</f>
        <v/>
      </c>
    </row>
    <row r="191">
      <c r="A191" s="5" t="inlineStr">
        <is>
          <t>2025-07</t>
        </is>
      </c>
      <c r="B191" s="14" t="n">
        <v>0.07692</v>
      </c>
      <c r="C191" s="14" t="n">
        <v>0.014295</v>
      </c>
      <c r="D191" s="14" t="n">
        <v>0.006516</v>
      </c>
      <c r="E191" s="14" t="n">
        <v>0.003696</v>
      </c>
      <c r="F191" s="14" t="n">
        <v>0.002713</v>
      </c>
      <c r="G191" s="14" t="n">
        <v>0.10414</v>
      </c>
      <c r="H191" s="14">
        <f>ROUND(SUM(B191:F191)-G191,5)</f>
        <v/>
      </c>
    </row>
    <row r="192">
      <c r="A192" s="8" t="inlineStr">
        <is>
          <t>2025-08</t>
        </is>
      </c>
      <c r="B192" s="13" t="n">
        <v>0.08255899999999999</v>
      </c>
      <c r="C192" s="13" t="n">
        <v>0.013828</v>
      </c>
      <c r="D192" s="13" t="n">
        <v>0.006846</v>
      </c>
      <c r="E192" s="13" t="n">
        <v>0.00347</v>
      </c>
      <c r="F192" s="13" t="n">
        <v>0.002829</v>
      </c>
      <c r="G192" s="13" t="n">
        <v>0.109532</v>
      </c>
      <c r="H192" s="13">
        <f>ROUND(SUM(B192:F192)-G192,5)</f>
        <v/>
      </c>
    </row>
    <row r="193">
      <c r="A193" s="5" t="inlineStr">
        <is>
          <t>2025-09</t>
        </is>
      </c>
      <c r="B193" s="14" t="n">
        <v>0.082931</v>
      </c>
      <c r="C193" s="14" t="n">
        <v>0.012893</v>
      </c>
      <c r="D193" s="14" t="n">
        <v>0.007238</v>
      </c>
      <c r="E193" s="14" t="n">
        <v>0.003395</v>
      </c>
      <c r="F193" s="14" t="n">
        <v>0.002897</v>
      </c>
      <c r="G193" s="14" t="n">
        <v>0.109354</v>
      </c>
      <c r="H193" s="14">
        <f>ROUND(SUM(B193:F193)-G193,5)</f>
        <v/>
      </c>
    </row>
    <row r="194">
      <c r="A194" s="8" t="inlineStr">
        <is>
          <t>2025-10</t>
        </is>
      </c>
      <c r="B194" s="13" t="n">
        <v>0.091018</v>
      </c>
      <c r="C194" s="13" t="n">
        <v>0.012237</v>
      </c>
      <c r="D194" s="13" t="n">
        <v>0.007643</v>
      </c>
      <c r="E194" s="13" t="n">
        <v>0.003376</v>
      </c>
      <c r="F194" s="13" t="n">
        <v>0.002927</v>
      </c>
      <c r="G194" s="13" t="n">
        <v>0.117201</v>
      </c>
      <c r="H194" s="13">
        <f>ROUND(SUM(B194:F194)-G194,5)</f>
        <v/>
      </c>
    </row>
    <row r="195">
      <c r="A195" s="5" t="inlineStr">
        <is>
          <t>2025-11</t>
        </is>
      </c>
      <c r="B195" s="14" t="n">
        <v>0.08466899999999999</v>
      </c>
      <c r="C195" s="14" t="n">
        <v>0.013076</v>
      </c>
      <c r="D195" s="14" t="n">
        <v>0.007705</v>
      </c>
      <c r="E195" s="14" t="n">
        <v>0.00309</v>
      </c>
      <c r="F195" s="14" t="n">
        <v>0.002846</v>
      </c>
      <c r="G195" s="14" t="n">
        <v>0.111386</v>
      </c>
      <c r="H195" s="14">
        <f>ROUND(SUM(B195:F195)-G195,5)</f>
        <v/>
      </c>
    </row>
    <row r="196">
      <c r="A196" s="8" t="inlineStr">
        <is>
          <t>2025-12</t>
        </is>
      </c>
      <c r="B196" s="13" t="n">
        <v>0.089403</v>
      </c>
      <c r="C196" s="13" t="n">
        <v>0.014536</v>
      </c>
      <c r="D196" s="13" t="n">
        <v>0.006929</v>
      </c>
      <c r="E196" s="13" t="n">
        <v>0.00278</v>
      </c>
      <c r="F196" s="13" t="n">
        <v>0.002717</v>
      </c>
      <c r="G196" s="13" t="n">
        <v>0.116365</v>
      </c>
      <c r="H196" s="13">
        <f>ROUND(SUM(B196:F196)-G196,5)</f>
        <v/>
      </c>
    </row>
    <row r="197">
      <c r="A197" s="5" t="inlineStr">
        <is>
          <t>2026-01</t>
        </is>
      </c>
      <c r="B197" s="14" t="n">
        <v>0.058432</v>
      </c>
      <c r="C197" s="14" t="n">
        <v>0.012123</v>
      </c>
      <c r="D197" s="14" t="n">
        <v>0.001415</v>
      </c>
      <c r="E197" s="14" t="n">
        <v>0.002478</v>
      </c>
      <c r="F197" s="14" t="n">
        <v>0.001194</v>
      </c>
      <c r="G197" s="14" t="n">
        <v>0.075642</v>
      </c>
      <c r="H197" s="14">
        <f>ROUND(SUM(B197:F197)-G197,5)</f>
        <v/>
      </c>
    </row>
    <row r="198">
      <c r="A198" s="8" t="inlineStr">
        <is>
          <t>2026-02</t>
        </is>
      </c>
      <c r="B198" s="13" t="n">
        <v>0.034318</v>
      </c>
      <c r="C198" s="13" t="n">
        <v>0.004147</v>
      </c>
      <c r="D198" s="13" t="n">
        <v>0.000927</v>
      </c>
      <c r="E198" s="13" t="n">
        <v>0.001262</v>
      </c>
      <c r="F198" s="13" t="n">
        <v>0.000435</v>
      </c>
      <c r="G198" s="13" t="n">
        <v>0.041088</v>
      </c>
      <c r="H198" s="13">
        <f>ROUND(SUM(B198:F198)-G198,5)</f>
        <v/>
      </c>
    </row>
    <row r="199">
      <c r="A199" s="5" t="inlineStr">
        <is>
          <t>2026-03</t>
        </is>
      </c>
      <c r="B199" s="14" t="n">
        <v>0.069637</v>
      </c>
      <c r="C199" s="14" t="n">
        <v>0.007972999999999999</v>
      </c>
      <c r="D199" s="14" t="n">
        <v>0.003228</v>
      </c>
      <c r="E199" s="14" t="n">
        <v>0.001394</v>
      </c>
      <c r="F199" s="14" t="n">
        <v>0.00116</v>
      </c>
      <c r="G199" s="14" t="n">
        <v>0.08339299999999999</v>
      </c>
      <c r="H199" s="14">
        <f>ROUND(SUM(B199:F199)-G199,5)</f>
        <v/>
      </c>
    </row>
    <row r="200">
      <c r="A200" s="8" t="inlineStr">
        <is>
          <t>2026-04</t>
        </is>
      </c>
      <c r="B200" s="13" t="n">
        <v>0.064475</v>
      </c>
      <c r="C200" s="13" t="n">
        <v>0.006139</v>
      </c>
      <c r="D200" s="13" t="n">
        <v>0.004364</v>
      </c>
      <c r="E200" s="13" t="n">
        <v>0.001376</v>
      </c>
      <c r="F200" s="13" t="n">
        <v>0.001259</v>
      </c>
      <c r="G200" s="13" t="n">
        <v>0.077613</v>
      </c>
      <c r="H200" s="13">
        <f>ROUND(SUM(B200:F200)-G200,5)</f>
        <v/>
      </c>
    </row>
    <row r="201">
      <c r="A201" s="5" t="inlineStr">
        <is>
          <t>2026-05</t>
        </is>
      </c>
      <c r="B201" s="14" t="n">
        <v>0.072629</v>
      </c>
      <c r="C201" s="14" t="n">
        <v>0.006571</v>
      </c>
      <c r="D201" s="14" t="n">
        <v>0.00368</v>
      </c>
      <c r="E201" s="14" t="n">
        <v>0.001006</v>
      </c>
      <c r="F201" s="14" t="n">
        <v>0.001383</v>
      </c>
      <c r="G201" s="14" t="n">
        <v>0.085269</v>
      </c>
      <c r="H201" s="14">
        <f>ROUND(SUM(B201:F201)-G201,5)</f>
        <v/>
      </c>
    </row>
    <row r="202">
      <c r="A202" s="8" t="inlineStr">
        <is>
          <t>2026-06</t>
        </is>
      </c>
      <c r="B202" s="13" t="n">
        <v>0.078198</v>
      </c>
      <c r="C202" s="13" t="n">
        <v>0.006142</v>
      </c>
      <c r="D202" s="13" t="n">
        <v>0.004221</v>
      </c>
      <c r="E202" s="13" t="n">
        <v>0.00156</v>
      </c>
      <c r="F202" s="13" t="n">
        <v>0.001453</v>
      </c>
      <c r="G202" s="13" t="n">
        <v>0.091574</v>
      </c>
      <c r="H202" s="13">
        <f>ROUND(SUM(B202:F202)-G202,5)</f>
        <v/>
      </c>
    </row>
    <row r="203">
      <c r="A203" s="5" t="inlineStr">
        <is>
          <t>Шалгалт: сүүлийн багана бүх мөрөнд 0 байх ёстой (the check column must read 0 on every row — the bars stack up to the line)</t>
        </is>
      </c>
    </row>
    <row r="204">
      <c r="A204" s="3" t="inlineStr">
        <is>
          <t>Үе (Period)</t>
        </is>
      </c>
      <c r="B204" s="3" t="inlineStr">
        <is>
          <t>Тухайн үе (сая төг)</t>
        </is>
      </c>
      <c r="C204" s="3" t="inlineStr">
        <is>
          <t>Өссөн дүнгийн жилийн өсөлт</t>
        </is>
      </c>
    </row>
    <row r="205">
      <c r="A205" s="5" t="inlineStr">
        <is>
          <t>2023-07</t>
        </is>
      </c>
      <c r="B205" s="16" t="n">
        <v>136366.06</v>
      </c>
      <c r="C205" s="14" t="n">
        <v>0.234219</v>
      </c>
    </row>
    <row r="206">
      <c r="A206" s="8" t="inlineStr">
        <is>
          <t>2023-08</t>
        </is>
      </c>
      <c r="B206" s="15" t="n">
        <v>153585.54</v>
      </c>
      <c r="C206" s="13" t="n">
        <v>0.237904</v>
      </c>
    </row>
    <row r="207">
      <c r="A207" s="5" t="inlineStr">
        <is>
          <t>2023-09</t>
        </is>
      </c>
      <c r="B207" s="16" t="n">
        <v>146858.7</v>
      </c>
      <c r="C207" s="14" t="n">
        <v>0.235076</v>
      </c>
    </row>
    <row r="208">
      <c r="A208" s="8" t="inlineStr">
        <is>
          <t>2023-10</t>
        </is>
      </c>
      <c r="B208" s="15" t="n">
        <v>150613.48</v>
      </c>
      <c r="C208" s="13" t="n">
        <v>0.231245</v>
      </c>
    </row>
    <row r="209">
      <c r="A209" s="5" t="inlineStr">
        <is>
          <t>2023-11</t>
        </is>
      </c>
      <c r="B209" s="16" t="n">
        <v>143138.43</v>
      </c>
      <c r="C209" s="14" t="n">
        <v>0.228709</v>
      </c>
    </row>
    <row r="210">
      <c r="A210" s="8" t="inlineStr">
        <is>
          <t>2023-12</t>
        </is>
      </c>
      <c r="B210" s="15" t="n">
        <v>190314.94</v>
      </c>
      <c r="C210" s="13" t="n">
        <v>0.230095</v>
      </c>
    </row>
    <row r="211">
      <c r="A211" s="5" t="inlineStr">
        <is>
          <t>2024-01</t>
        </is>
      </c>
      <c r="B211" s="16" t="n">
        <v>122275.47</v>
      </c>
      <c r="C211" s="14" t="n">
        <v>0.207856</v>
      </c>
    </row>
    <row r="212">
      <c r="A212" s="8" t="inlineStr">
        <is>
          <t>2024-02</t>
        </is>
      </c>
      <c r="B212" s="15" t="n">
        <v>114507.32</v>
      </c>
      <c r="C212" s="13" t="n">
        <v>0.235921</v>
      </c>
    </row>
    <row r="213">
      <c r="A213" s="5" t="inlineStr">
        <is>
          <t>2024-03</t>
        </is>
      </c>
      <c r="B213" s="16" t="n">
        <v>148798.31</v>
      </c>
      <c r="C213" s="14" t="n">
        <v>0.202212</v>
      </c>
    </row>
    <row r="214">
      <c r="A214" s="8" t="inlineStr">
        <is>
          <t>2024-04</t>
        </is>
      </c>
      <c r="B214" s="15" t="n">
        <v>159673.46</v>
      </c>
      <c r="C214" s="13" t="n">
        <v>0.210719</v>
      </c>
    </row>
    <row r="215">
      <c r="A215" s="5" t="inlineStr">
        <is>
          <t>2024-05</t>
        </is>
      </c>
      <c r="B215" s="16" t="n">
        <v>169596.42</v>
      </c>
      <c r="C215" s="14" t="n">
        <v>0.209444</v>
      </c>
    </row>
    <row r="216">
      <c r="A216" s="8" t="inlineStr">
        <is>
          <t>2024-06</t>
        </is>
      </c>
      <c r="B216" s="15" t="n">
        <v>173679.59</v>
      </c>
      <c r="C216" s="13" t="n">
        <v>0.19794</v>
      </c>
    </row>
    <row r="217">
      <c r="A217" s="5" t="inlineStr">
        <is>
          <t>2024-07</t>
        </is>
      </c>
      <c r="B217" s="16" t="n">
        <v>162819.47</v>
      </c>
      <c r="C217" s="14" t="n">
        <v>0.197326</v>
      </c>
    </row>
    <row r="218">
      <c r="A218" s="8" t="inlineStr">
        <is>
          <t>2024-08</t>
        </is>
      </c>
      <c r="B218" s="15" t="n">
        <v>181038.7</v>
      </c>
      <c r="C218" s="13" t="n">
        <v>0.194561</v>
      </c>
    </row>
    <row r="219">
      <c r="A219" s="5" t="inlineStr">
        <is>
          <t>2024-09</t>
        </is>
      </c>
      <c r="B219" s="16" t="n">
        <v>171627.63</v>
      </c>
      <c r="C219" s="14" t="n">
        <v>0.191333</v>
      </c>
    </row>
    <row r="220">
      <c r="A220" s="8" t="inlineStr">
        <is>
          <t>2024-10</t>
        </is>
      </c>
      <c r="B220" s="15" t="n">
        <v>166953.66</v>
      </c>
      <c r="C220" s="13" t="n">
        <v>0.181945</v>
      </c>
    </row>
    <row r="221">
      <c r="A221" s="5" t="inlineStr">
        <is>
          <t>2024-11</t>
        </is>
      </c>
      <c r="B221" s="16" t="n">
        <v>162033.91</v>
      </c>
      <c r="C221" s="14" t="n">
        <v>0.17709</v>
      </c>
    </row>
    <row r="222">
      <c r="A222" s="8" t="inlineStr">
        <is>
          <t>2024-12</t>
        </is>
      </c>
      <c r="B222" s="15" t="n">
        <v>206112.23</v>
      </c>
      <c r="C222" s="13" t="n">
        <v>0.166321</v>
      </c>
    </row>
    <row r="223">
      <c r="A223" s="5" t="inlineStr">
        <is>
          <t>2025-01</t>
        </is>
      </c>
      <c r="B223" s="16" t="n">
        <v>141423.4</v>
      </c>
      <c r="C223" s="14" t="n">
        <v>0.156597</v>
      </c>
    </row>
    <row r="224">
      <c r="A224" s="8" t="inlineStr">
        <is>
          <t>2025-02</t>
        </is>
      </c>
      <c r="B224" s="15" t="n">
        <v>137725.54</v>
      </c>
      <c r="C224" s="13" t="n">
        <v>0.178924</v>
      </c>
    </row>
    <row r="225">
      <c r="A225" s="5" t="inlineStr">
        <is>
          <t>2025-03</t>
        </is>
      </c>
      <c r="B225" s="16" t="n">
        <v>159955.69</v>
      </c>
      <c r="C225" s="14" t="n">
        <v>0.138813</v>
      </c>
    </row>
    <row r="226">
      <c r="A226" s="8" t="inlineStr">
        <is>
          <t>2025-04</t>
        </is>
      </c>
      <c r="B226" s="15" t="n">
        <v>169523.26</v>
      </c>
      <c r="C226" s="13" t="n">
        <v>0.116227</v>
      </c>
    </row>
    <row r="227">
      <c r="A227" s="5" t="inlineStr">
        <is>
          <t>2025-05</t>
        </is>
      </c>
      <c r="B227" s="16" t="n">
        <v>181880.78</v>
      </c>
      <c r="C227" s="14" t="n">
        <v>0.105837</v>
      </c>
    </row>
    <row r="228">
      <c r="A228" s="8" t="inlineStr">
        <is>
          <t>2025-06</t>
        </is>
      </c>
      <c r="B228" s="15" t="n">
        <v>192026.51</v>
      </c>
      <c r="C228" s="13" t="n">
        <v>0.105798</v>
      </c>
    </row>
    <row r="229">
      <c r="A229" s="5" t="inlineStr">
        <is>
          <t>2025-07</t>
        </is>
      </c>
      <c r="B229" s="16" t="n">
        <v>178302.02</v>
      </c>
      <c r="C229" s="14" t="n">
        <v>0.10414</v>
      </c>
    </row>
    <row r="230">
      <c r="A230" s="8" t="inlineStr">
        <is>
          <t>2025-08</t>
        </is>
      </c>
      <c r="B230" s="15" t="n">
        <v>206537.27</v>
      </c>
      <c r="C230" s="13" t="n">
        <v>0.109532</v>
      </c>
    </row>
    <row r="231">
      <c r="A231" s="5" t="inlineStr">
        <is>
          <t>2025-09</t>
        </is>
      </c>
      <c r="B231" s="16" t="n">
        <v>190176.66</v>
      </c>
      <c r="C231" s="14" t="n">
        <v>0.109354</v>
      </c>
    </row>
    <row r="232">
      <c r="A232" s="8" t="inlineStr">
        <is>
          <t>2025-10</t>
        </is>
      </c>
      <c r="B232" s="15" t="n">
        <v>197538.43</v>
      </c>
      <c r="C232" s="13" t="n">
        <v>0.117201</v>
      </c>
    </row>
    <row r="233">
      <c r="A233" s="5" t="inlineStr">
        <is>
          <t>2025-11</t>
        </is>
      </c>
      <c r="B233" s="16" t="n">
        <v>170946.55</v>
      </c>
      <c r="C233" s="14" t="n">
        <v>0.111386</v>
      </c>
    </row>
    <row r="234">
      <c r="A234" s="8" t="inlineStr">
        <is>
          <t>2025-12</t>
        </is>
      </c>
      <c r="B234" s="15" t="n">
        <v>238724.65</v>
      </c>
      <c r="C234" s="13" t="n">
        <v>0.116365</v>
      </c>
    </row>
    <row r="235">
      <c r="A235" s="5" t="inlineStr">
        <is>
          <t>2026-01</t>
        </is>
      </c>
      <c r="B235" s="16" t="n">
        <v>152121</v>
      </c>
      <c r="C235" s="14" t="n">
        <v>0.075642</v>
      </c>
    </row>
    <row r="236">
      <c r="A236" s="8" t="inlineStr">
        <is>
          <t>2026-02</t>
        </is>
      </c>
      <c r="B236" s="15" t="n">
        <v>138497.65</v>
      </c>
      <c r="C236" s="13" t="n">
        <v>0.041088</v>
      </c>
    </row>
    <row r="237">
      <c r="A237" s="5" t="inlineStr">
        <is>
          <t>2026-03</t>
        </is>
      </c>
      <c r="B237" s="16" t="n">
        <v>185104.12</v>
      </c>
      <c r="C237" s="14" t="n">
        <v>0.08339299999999999</v>
      </c>
    </row>
    <row r="238">
      <c r="A238" s="8" t="inlineStr">
        <is>
          <t>2026-04</t>
        </is>
      </c>
      <c r="B238" s="15" t="n">
        <v>180142.73</v>
      </c>
      <c r="C238" s="13" t="n">
        <v>0.077613</v>
      </c>
    </row>
    <row r="239">
      <c r="A239" s="5" t="inlineStr">
        <is>
          <t>2026-05</t>
        </is>
      </c>
      <c r="B239" s="16" t="n">
        <v>202049.04</v>
      </c>
      <c r="C239" s="14" t="n">
        <v>0.085269</v>
      </c>
    </row>
    <row r="240">
      <c r="A240" s="8" t="inlineStr">
        <is>
          <t>2026-06</t>
        </is>
      </c>
      <c r="B240" s="15" t="n">
        <v>214595.66</v>
      </c>
      <c r="C240" s="13" t="n">
        <v>0.091574</v>
      </c>
    </row>
    <row r="263">
      <c r="A263" s="4" t="inlineStr">
        <is>
          <t>Барилга угсралт, их засварын ажил — 2026-Q2</t>
        </is>
      </c>
    </row>
    <row r="264">
      <c r="A264" s="3" t="inlineStr">
        <is>
          <t>Үе (Period)</t>
        </is>
      </c>
      <c r="B264" s="3" t="inlineStr">
        <is>
          <t>Орон сууцны барилга</t>
        </is>
      </c>
      <c r="C264" s="3" t="inlineStr">
        <is>
          <t>Их засварын ажил</t>
        </is>
      </c>
      <c r="D264" s="3" t="inlineStr">
        <is>
          <t>Инженерийн барилга, байгууламж</t>
        </is>
      </c>
      <c r="E264" s="3" t="inlineStr">
        <is>
          <t>Орон сууцны бус барилга</t>
        </is>
      </c>
      <c r="F264" s="3" t="inlineStr">
        <is>
          <t>Салбарын өсөлт (Growth)</t>
        </is>
      </c>
      <c r="G264" s="3" t="inlineStr">
        <is>
          <t>Нийлбэр (check)</t>
        </is>
      </c>
    </row>
    <row r="265">
      <c r="A265" s="5" t="inlineStr">
        <is>
          <t>2022-Q2</t>
        </is>
      </c>
      <c r="B265" s="14" t="n">
        <v>0.164805</v>
      </c>
      <c r="C265" s="14" t="n">
        <v>0.011175</v>
      </c>
      <c r="D265" s="14" t="n">
        <v>0.114697</v>
      </c>
      <c r="E265" s="14" t="n">
        <v>0.022975</v>
      </c>
      <c r="F265" s="14" t="n">
        <v>0.313651</v>
      </c>
      <c r="G265" s="14">
        <f>ROUND(SUM(B265:E265)-F265,5)</f>
        <v/>
      </c>
    </row>
    <row r="266">
      <c r="A266" s="8" t="inlineStr">
        <is>
          <t>2022-Q3</t>
        </is>
      </c>
      <c r="B266" s="13" t="n">
        <v>0.135848</v>
      </c>
      <c r="C266" s="13" t="n">
        <v>0.015638</v>
      </c>
      <c r="D266" s="13" t="n">
        <v>0.086227</v>
      </c>
      <c r="E266" s="13" t="n">
        <v>0.030316</v>
      </c>
      <c r="F266" s="13" t="n">
        <v>0.268029</v>
      </c>
      <c r="G266" s="13">
        <f>ROUND(SUM(B266:E266)-F266,5)</f>
        <v/>
      </c>
    </row>
    <row r="267">
      <c r="A267" s="5" t="inlineStr">
        <is>
          <t>2022-Q4</t>
        </is>
      </c>
      <c r="B267" s="14" t="n">
        <v>0.154693</v>
      </c>
      <c r="C267" s="14" t="n">
        <v>0.013919</v>
      </c>
      <c r="D267" s="14" t="n">
        <v>0.103881</v>
      </c>
      <c r="E267" s="14" t="n">
        <v>0.055899</v>
      </c>
      <c r="F267" s="14" t="n">
        <v>0.328393</v>
      </c>
      <c r="G267" s="14">
        <f>ROUND(SUM(B267:E267)-F267,5)</f>
        <v/>
      </c>
    </row>
    <row r="268">
      <c r="A268" s="8" t="inlineStr">
        <is>
          <t>2023-Q1</t>
        </is>
      </c>
      <c r="B268" s="13" t="n">
        <v>0.25388</v>
      </c>
      <c r="C268" s="13" t="n">
        <v>0.0031</v>
      </c>
      <c r="D268" s="13" t="n">
        <v>-0.152659</v>
      </c>
      <c r="E268" s="13" t="n">
        <v>0.189529</v>
      </c>
      <c r="F268" s="13" t="n">
        <v>0.29385</v>
      </c>
      <c r="G268" s="13">
        <f>ROUND(SUM(B268:E268)-F268,5)</f>
        <v/>
      </c>
    </row>
    <row r="269">
      <c r="A269" s="5" t="inlineStr">
        <is>
          <t>2023-Q2</t>
        </is>
      </c>
      <c r="B269" s="14" t="n">
        <v>0.113874</v>
      </c>
      <c r="C269" s="14" t="n">
        <v>0.011651</v>
      </c>
      <c r="D269" s="14" t="n">
        <v>-0.068422</v>
      </c>
      <c r="E269" s="14" t="n">
        <v>0.147812</v>
      </c>
      <c r="F269" s="14" t="n">
        <v>0.204914</v>
      </c>
      <c r="G269" s="14">
        <f>ROUND(SUM(B269:E269)-F269,5)</f>
        <v/>
      </c>
    </row>
    <row r="270">
      <c r="A270" s="8" t="inlineStr">
        <is>
          <t>2023-Q3</t>
        </is>
      </c>
      <c r="B270" s="13" t="n">
        <v>0.102545</v>
      </c>
      <c r="C270" s="13" t="n">
        <v>0.014876</v>
      </c>
      <c r="D270" s="13" t="n">
        <v>-0.02081</v>
      </c>
      <c r="E270" s="13" t="n">
        <v>0.119006</v>
      </c>
      <c r="F270" s="13" t="n">
        <v>0.215617</v>
      </c>
      <c r="G270" s="13">
        <f>ROUND(SUM(B270:E270)-F270,5)</f>
        <v/>
      </c>
    </row>
    <row r="271">
      <c r="A271" s="5" t="inlineStr">
        <is>
          <t>2023-Q4</t>
        </is>
      </c>
      <c r="B271" s="14" t="n">
        <v>0.08770600000000001</v>
      </c>
      <c r="C271" s="14" t="n">
        <v>0.01363</v>
      </c>
      <c r="D271" s="14" t="n">
        <v>-0.032203</v>
      </c>
      <c r="E271" s="14" t="n">
        <v>0.111255</v>
      </c>
      <c r="F271" s="14" t="n">
        <v>0.180388</v>
      </c>
      <c r="G271" s="14">
        <f>ROUND(SUM(B271:E271)-F271,5)</f>
        <v/>
      </c>
    </row>
    <row r="272">
      <c r="A272" s="8" t="inlineStr">
        <is>
          <t>2024-Q1</t>
        </is>
      </c>
      <c r="B272" s="13" t="n">
        <v>0.048741</v>
      </c>
      <c r="C272" s="13" t="n">
        <v>0.000749</v>
      </c>
      <c r="D272" s="13" t="n">
        <v>0.165292</v>
      </c>
      <c r="E272" s="13" t="n">
        <v>0.115006</v>
      </c>
      <c r="F272" s="13" t="n">
        <v>0.329789</v>
      </c>
      <c r="G272" s="13">
        <f>ROUND(SUM(B272:E272)-F272,5)</f>
        <v/>
      </c>
    </row>
    <row r="273">
      <c r="A273" s="5" t="inlineStr">
        <is>
          <t>2024-Q2</t>
        </is>
      </c>
      <c r="B273" s="14" t="n">
        <v>0.030808</v>
      </c>
      <c r="C273" s="14" t="n">
        <v>-0.00206</v>
      </c>
      <c r="D273" s="14" t="n">
        <v>0.181701</v>
      </c>
      <c r="E273" s="14" t="n">
        <v>0.030342</v>
      </c>
      <c r="F273" s="14" t="n">
        <v>0.240791</v>
      </c>
      <c r="G273" s="14">
        <f>ROUND(SUM(B273:E273)-F273,5)</f>
        <v/>
      </c>
    </row>
    <row r="274">
      <c r="A274" s="8" t="inlineStr">
        <is>
          <t>2024-Q3</t>
        </is>
      </c>
      <c r="B274" s="13" t="n">
        <v>0.028281</v>
      </c>
      <c r="C274" s="13" t="n">
        <v>-0.002477</v>
      </c>
      <c r="D274" s="13" t="n">
        <v>0.082736</v>
      </c>
      <c r="E274" s="13" t="n">
        <v>0.02218</v>
      </c>
      <c r="F274" s="13" t="n">
        <v>0.130721</v>
      </c>
      <c r="G274" s="13">
        <f>ROUND(SUM(B274:E274)-F274,5)</f>
        <v/>
      </c>
    </row>
    <row r="275">
      <c r="A275" s="5" t="inlineStr">
        <is>
          <t>2024-Q4</t>
        </is>
      </c>
      <c r="B275" s="14" t="n">
        <v>0.020225</v>
      </c>
      <c r="C275" s="14" t="n">
        <v>0.004297</v>
      </c>
      <c r="D275" s="14" t="n">
        <v>0.095857</v>
      </c>
      <c r="E275" s="14" t="n">
        <v>0.026468</v>
      </c>
      <c r="F275" s="14" t="n">
        <v>0.146847</v>
      </c>
      <c r="G275" s="14">
        <f>ROUND(SUM(B275:E275)-F275,5)</f>
        <v/>
      </c>
    </row>
    <row r="276">
      <c r="A276" s="8" t="inlineStr">
        <is>
          <t>2025-Q1</t>
        </is>
      </c>
      <c r="B276" s="13" t="n">
        <v>0.075832</v>
      </c>
      <c r="C276" s="13" t="n">
        <v>0.011896</v>
      </c>
      <c r="D276" s="13" t="n">
        <v>-0.052615</v>
      </c>
      <c r="E276" s="13" t="n">
        <v>-0.012752</v>
      </c>
      <c r="F276" s="13" t="n">
        <v>0.022362</v>
      </c>
      <c r="G276" s="13">
        <f>ROUND(SUM(B276:E276)-F276,5)</f>
        <v/>
      </c>
    </row>
    <row r="277">
      <c r="A277" s="5" t="inlineStr">
        <is>
          <t>2025-Q2</t>
        </is>
      </c>
      <c r="B277" s="14" t="n">
        <v>0.112499</v>
      </c>
      <c r="C277" s="14" t="n">
        <v>0.036839</v>
      </c>
      <c r="D277" s="14" t="n">
        <v>0.06628199999999999</v>
      </c>
      <c r="E277" s="14" t="n">
        <v>0.07911799999999999</v>
      </c>
      <c r="F277" s="14" t="n">
        <v>0.294738</v>
      </c>
      <c r="G277" s="14">
        <f>ROUND(SUM(B277:E277)-F277,5)</f>
        <v/>
      </c>
    </row>
    <row r="278">
      <c r="A278" s="8" t="inlineStr">
        <is>
          <t>2025-Q3</t>
        </is>
      </c>
      <c r="B278" s="13" t="n">
        <v>0.103972</v>
      </c>
      <c r="C278" s="13" t="n">
        <v>0.032878</v>
      </c>
      <c r="D278" s="13" t="n">
        <v>0.118269</v>
      </c>
      <c r="E278" s="13" t="n">
        <v>0.05331</v>
      </c>
      <c r="F278" s="13" t="n">
        <v>0.308429</v>
      </c>
      <c r="G278" s="13">
        <f>ROUND(SUM(B278:E278)-F278,5)</f>
        <v/>
      </c>
    </row>
    <row r="279">
      <c r="A279" s="5" t="inlineStr">
        <is>
          <t>2025-Q4</t>
        </is>
      </c>
      <c r="B279" s="14" t="n">
        <v>0.127137</v>
      </c>
      <c r="C279" s="14" t="n">
        <v>0.030096</v>
      </c>
      <c r="D279" s="14" t="n">
        <v>0.08551599999999999</v>
      </c>
      <c r="E279" s="14" t="n">
        <v>0.036898</v>
      </c>
      <c r="F279" s="14" t="n">
        <v>0.279647</v>
      </c>
      <c r="G279" s="14">
        <f>ROUND(SUM(B279:E279)-F279,5)</f>
        <v/>
      </c>
    </row>
    <row r="280">
      <c r="A280" s="8" t="inlineStr">
        <is>
          <t>2026-Q1</t>
        </is>
      </c>
      <c r="B280" s="13" t="n">
        <v>0.2935</v>
      </c>
      <c r="C280" s="13" t="n">
        <v>0.015596</v>
      </c>
      <c r="D280" s="13" t="n">
        <v>0.048098</v>
      </c>
      <c r="E280" s="13" t="n">
        <v>-0.073321</v>
      </c>
      <c r="F280" s="13" t="n">
        <v>0.283873</v>
      </c>
      <c r="G280" s="13">
        <f>ROUND(SUM(B280:E280)-F280,5)</f>
        <v/>
      </c>
    </row>
    <row r="281">
      <c r="A281" s="5" t="inlineStr">
        <is>
          <t>Шалгалт: сүүлийн багана бүх мөрөнд 0 байх ёстой (the check column must read 0 on every row — the bars stack up to the line)</t>
        </is>
      </c>
    </row>
    <row r="304">
      <c r="A304" s="4" t="inlineStr">
        <is>
          <t>Аж үйлдвэрийн салбарын бүтээгдэхүүний борлуулалт — 2026-07</t>
        </is>
      </c>
    </row>
    <row r="305">
      <c r="A305" s="3" t="inlineStr">
        <is>
          <t>Үе (Period)</t>
        </is>
      </c>
      <c r="B305" s="3" t="inlineStr">
        <is>
          <t>Уул уурхай, олборлолт</t>
        </is>
      </c>
      <c r="C305" s="3" t="inlineStr">
        <is>
          <t>Боловсруулах үйлдвэрлэл</t>
        </is>
      </c>
      <c r="D305" s="3" t="inlineStr">
        <is>
          <t>Цахилгаан хий, уур, агааржуулалт</t>
        </is>
      </c>
      <c r="E305" s="3" t="inlineStr">
        <is>
          <t>Ус хангамж; бохир ус зайлуулах систем, хог, хаягдлын менежмент болон цэвэрлэх үйл ажиллагаа</t>
        </is>
      </c>
      <c r="F305" s="3" t="inlineStr">
        <is>
          <t>Салбарын өсөлт (Growth)</t>
        </is>
      </c>
      <c r="G305" s="3" t="inlineStr">
        <is>
          <t>Нийлбэр (check)</t>
        </is>
      </c>
    </row>
    <row r="306">
      <c r="A306" s="5" t="inlineStr">
        <is>
          <t>2023-08</t>
        </is>
      </c>
      <c r="B306" s="14" t="n">
        <v>0.622887</v>
      </c>
      <c r="C306" s="14" t="n">
        <v>0.08122799999999999</v>
      </c>
      <c r="D306" s="14" t="n">
        <v>0.015344</v>
      </c>
      <c r="E306" s="14" t="n">
        <v>0.00125</v>
      </c>
      <c r="F306" s="14" t="n">
        <v>0.720709</v>
      </c>
      <c r="G306" s="14">
        <f>ROUND(SUM(B306:E306)-F306,5)</f>
        <v/>
      </c>
    </row>
    <row r="307">
      <c r="A307" s="8" t="inlineStr">
        <is>
          <t>2023-09</t>
        </is>
      </c>
      <c r="B307" s="13" t="n">
        <v>0.569937</v>
      </c>
      <c r="C307" s="13" t="n">
        <v>0.076128</v>
      </c>
      <c r="D307" s="13" t="n">
        <v>0.014508</v>
      </c>
      <c r="E307" s="13" t="n">
        <v>0.001181</v>
      </c>
      <c r="F307" s="13" t="n">
        <v>0.661754</v>
      </c>
      <c r="G307" s="13">
        <f>ROUND(SUM(B307:E307)-F307,5)</f>
        <v/>
      </c>
    </row>
    <row r="308">
      <c r="A308" s="5" t="inlineStr">
        <is>
          <t>2023-10</t>
        </is>
      </c>
      <c r="B308" s="14" t="n">
        <v>0.550451</v>
      </c>
      <c r="C308" s="14" t="n">
        <v>0.07172099999999999</v>
      </c>
      <c r="D308" s="14" t="n">
        <v>0.013648</v>
      </c>
      <c r="E308" s="14" t="n">
        <v>0.001167</v>
      </c>
      <c r="F308" s="14" t="n">
        <v>0.636988</v>
      </c>
      <c r="G308" s="14">
        <f>ROUND(SUM(B308:E308)-F308,5)</f>
        <v/>
      </c>
    </row>
    <row r="309">
      <c r="A309" s="8" t="inlineStr">
        <is>
          <t>2023-11</t>
        </is>
      </c>
      <c r="B309" s="13" t="n">
        <v>0.533092</v>
      </c>
      <c r="C309" s="13" t="n">
        <v>0.066888</v>
      </c>
      <c r="D309" s="13" t="n">
        <v>0.013549</v>
      </c>
      <c r="E309" s="13" t="n">
        <v>0.001203</v>
      </c>
      <c r="F309" s="13" t="n">
        <v>0.6147319999999999</v>
      </c>
      <c r="G309" s="13">
        <f>ROUND(SUM(B309:E309)-F309,5)</f>
        <v/>
      </c>
    </row>
    <row r="310">
      <c r="A310" s="5" t="inlineStr">
        <is>
          <t>2023-12</t>
        </is>
      </c>
      <c r="B310" s="14" t="n">
        <v>0.481076</v>
      </c>
      <c r="C310" s="14" t="n">
        <v>0.06081</v>
      </c>
      <c r="D310" s="14" t="n">
        <v>0.012353</v>
      </c>
      <c r="E310" s="14" t="n">
        <v>0.001171</v>
      </c>
      <c r="F310" s="14" t="n">
        <v>0.55541</v>
      </c>
      <c r="G310" s="14">
        <f>ROUND(SUM(B310:E310)-F310,5)</f>
        <v/>
      </c>
    </row>
    <row r="311">
      <c r="A311" s="8" t="inlineStr">
        <is>
          <t>2024-01</t>
        </is>
      </c>
      <c r="B311" s="13" t="n">
        <v>0.157067</v>
      </c>
      <c r="C311" s="13" t="n">
        <v>0.025065</v>
      </c>
      <c r="D311" s="13" t="n">
        <v>0.004046</v>
      </c>
      <c r="E311" s="13" t="n">
        <v>0.001012</v>
      </c>
      <c r="F311" s="13" t="n">
        <v>0.187191</v>
      </c>
      <c r="G311" s="13">
        <f>ROUND(SUM(B311:E311)-F311,5)</f>
        <v/>
      </c>
    </row>
    <row r="312">
      <c r="A312" s="5" t="inlineStr">
        <is>
          <t>2024-02</t>
        </is>
      </c>
      <c r="B312" s="14" t="n">
        <v>0.126638</v>
      </c>
      <c r="C312" s="14" t="n">
        <v>0.004485</v>
      </c>
      <c r="D312" s="14" t="n">
        <v>0.005944</v>
      </c>
      <c r="E312" s="14" t="n">
        <v>0.001062</v>
      </c>
      <c r="F312" s="14" t="n">
        <v>0.138129</v>
      </c>
      <c r="G312" s="14">
        <f>ROUND(SUM(B312:E312)-F312,5)</f>
        <v/>
      </c>
    </row>
    <row r="313">
      <c r="A313" s="8" t="inlineStr">
        <is>
          <t>2024-03</t>
        </is>
      </c>
      <c r="B313" s="13" t="n">
        <v>0.117995</v>
      </c>
      <c r="C313" s="13" t="n">
        <v>0.00158</v>
      </c>
      <c r="D313" s="13" t="n">
        <v>0.00707</v>
      </c>
      <c r="E313" s="13" t="n">
        <v>0.001015</v>
      </c>
      <c r="F313" s="13" t="n">
        <v>0.12766</v>
      </c>
      <c r="G313" s="13">
        <f>ROUND(SUM(B313:E313)-F313,5)</f>
        <v/>
      </c>
    </row>
    <row r="314">
      <c r="A314" s="5" t="inlineStr">
        <is>
          <t>2024-04</t>
        </is>
      </c>
      <c r="B314" s="14" t="n">
        <v>0.127315</v>
      </c>
      <c r="C314" s="14" t="n">
        <v>0.007261</v>
      </c>
      <c r="D314" s="14" t="n">
        <v>0.004527</v>
      </c>
      <c r="E314" s="14" t="n">
        <v>0.000975</v>
      </c>
      <c r="F314" s="14" t="n">
        <v>0.140078</v>
      </c>
      <c r="G314" s="14">
        <f>ROUND(SUM(B314:E314)-F314,5)</f>
        <v/>
      </c>
    </row>
    <row r="315">
      <c r="A315" s="8" t="inlineStr">
        <is>
          <t>2024-05</t>
        </is>
      </c>
      <c r="B315" s="13" t="n">
        <v>0.161701</v>
      </c>
      <c r="C315" s="13" t="n">
        <v>0.011057</v>
      </c>
      <c r="D315" s="13" t="n">
        <v>0.003917</v>
      </c>
      <c r="E315" s="13" t="n">
        <v>0.001144</v>
      </c>
      <c r="F315" s="13" t="n">
        <v>0.177819</v>
      </c>
      <c r="G315" s="13">
        <f>ROUND(SUM(B315:E315)-F315,5)</f>
        <v/>
      </c>
    </row>
    <row r="316">
      <c r="A316" s="5" t="inlineStr">
        <is>
          <t>2024-06</t>
        </is>
      </c>
      <c r="B316" s="14" t="n">
        <v>0.186674</v>
      </c>
      <c r="C316" s="14" t="n">
        <v>0.001889</v>
      </c>
      <c r="D316" s="14" t="n">
        <v>0.003628</v>
      </c>
      <c r="E316" s="14" t="n">
        <v>0.001197</v>
      </c>
      <c r="F316" s="14" t="n">
        <v>0.193388</v>
      </c>
      <c r="G316" s="14">
        <f>ROUND(SUM(B316:E316)-F316,5)</f>
        <v/>
      </c>
    </row>
    <row r="317">
      <c r="A317" s="8" t="inlineStr">
        <is>
          <t>2024-07</t>
        </is>
      </c>
      <c r="B317" s="13" t="n">
        <v>0.164688</v>
      </c>
      <c r="C317" s="13" t="n">
        <v>0.002666</v>
      </c>
      <c r="D317" s="13" t="n">
        <v>0.003245</v>
      </c>
      <c r="E317" s="13" t="n">
        <v>0.001184</v>
      </c>
      <c r="F317" s="13" t="n">
        <v>0.171783</v>
      </c>
      <c r="G317" s="13">
        <f>ROUND(SUM(B317:E317)-F317,5)</f>
        <v/>
      </c>
    </row>
    <row r="318">
      <c r="A318" s="5" t="inlineStr">
        <is>
          <t>2024-08</t>
        </is>
      </c>
      <c r="B318" s="14" t="n">
        <v>0.132025</v>
      </c>
      <c r="C318" s="14" t="n">
        <v>0.002198</v>
      </c>
      <c r="D318" s="14" t="n">
        <v>0.002836</v>
      </c>
      <c r="E318" s="14" t="n">
        <v>0.001137</v>
      </c>
      <c r="F318" s="14" t="n">
        <v>0.138196</v>
      </c>
      <c r="G318" s="14">
        <f>ROUND(SUM(B318:E318)-F318,5)</f>
        <v/>
      </c>
    </row>
    <row r="319">
      <c r="A319" s="8" t="inlineStr">
        <is>
          <t>2024-09</t>
        </is>
      </c>
      <c r="B319" s="13" t="n">
        <v>0.112077</v>
      </c>
      <c r="C319" s="13" t="n">
        <v>0.004661</v>
      </c>
      <c r="D319" s="13" t="n">
        <v>0.002738</v>
      </c>
      <c r="E319" s="13" t="n">
        <v>0.001062</v>
      </c>
      <c r="F319" s="13" t="n">
        <v>0.120538</v>
      </c>
      <c r="G319" s="13">
        <f>ROUND(SUM(B319:E319)-F319,5)</f>
        <v/>
      </c>
    </row>
    <row r="320">
      <c r="A320" s="5" t="inlineStr">
        <is>
          <t>2024-10</t>
        </is>
      </c>
      <c r="B320" s="14" t="n">
        <v>0.104286</v>
      </c>
      <c r="C320" s="14" t="n">
        <v>0.005642</v>
      </c>
      <c r="D320" s="14" t="n">
        <v>0.003041</v>
      </c>
      <c r="E320" s="14" t="n">
        <v>0.00109</v>
      </c>
      <c r="F320" s="14" t="n">
        <v>0.114059</v>
      </c>
      <c r="G320" s="14">
        <f>ROUND(SUM(B320:E320)-F320,5)</f>
        <v/>
      </c>
    </row>
    <row r="321">
      <c r="A321" s="8" t="inlineStr">
        <is>
          <t>2024-11</t>
        </is>
      </c>
      <c r="B321" s="13" t="n">
        <v>0.081386</v>
      </c>
      <c r="C321" s="13" t="n">
        <v>0.007032</v>
      </c>
      <c r="D321" s="13" t="n">
        <v>0.002917</v>
      </c>
      <c r="E321" s="13" t="n">
        <v>0.001047</v>
      </c>
      <c r="F321" s="13" t="n">
        <v>0.09238200000000001</v>
      </c>
      <c r="G321" s="13">
        <f>ROUND(SUM(B321:E321)-F321,5)</f>
        <v/>
      </c>
    </row>
    <row r="322">
      <c r="A322" s="5" t="inlineStr">
        <is>
          <t>2024-12</t>
        </is>
      </c>
      <c r="B322" s="14" t="n">
        <v>0.058447</v>
      </c>
      <c r="C322" s="14" t="n">
        <v>0.008163999999999999</v>
      </c>
      <c r="D322" s="14" t="n">
        <v>0.003773</v>
      </c>
      <c r="E322" s="14" t="n">
        <v>0.001021</v>
      </c>
      <c r="F322" s="14" t="n">
        <v>0.071405</v>
      </c>
      <c r="G322" s="14">
        <f>ROUND(SUM(B322:E322)-F322,5)</f>
        <v/>
      </c>
    </row>
    <row r="323">
      <c r="A323" s="8" t="inlineStr">
        <is>
          <t>2025-01</t>
        </is>
      </c>
      <c r="B323" s="13" t="n">
        <v>-0.164855</v>
      </c>
      <c r="C323" s="13" t="n">
        <v>-0.007432</v>
      </c>
      <c r="D323" s="13" t="n">
        <v>0.014771</v>
      </c>
      <c r="E323" s="13" t="n">
        <v>0.000972</v>
      </c>
      <c r="F323" s="13" t="n">
        <v>-0.156545</v>
      </c>
      <c r="G323" s="13">
        <f>ROUND(SUM(B323:E323)-F323,5)</f>
        <v/>
      </c>
    </row>
    <row r="324">
      <c r="A324" s="5" t="inlineStr">
        <is>
          <t>2025-02</t>
        </is>
      </c>
      <c r="B324" s="14" t="n">
        <v>-0.146833</v>
      </c>
      <c r="C324" s="14" t="n">
        <v>0.023405</v>
      </c>
      <c r="D324" s="14" t="n">
        <v>0.014118</v>
      </c>
      <c r="E324" s="14" t="n">
        <v>0.000827</v>
      </c>
      <c r="F324" s="14" t="n">
        <v>-0.108482</v>
      </c>
      <c r="G324" s="14">
        <f>ROUND(SUM(B324:E324)-F324,5)</f>
        <v/>
      </c>
    </row>
    <row r="325">
      <c r="A325" s="8" t="inlineStr">
        <is>
          <t>2025-03</t>
        </is>
      </c>
      <c r="B325" s="13" t="n">
        <v>-0.149634</v>
      </c>
      <c r="C325" s="13" t="n">
        <v>0.012549</v>
      </c>
      <c r="D325" s="13" t="n">
        <v>0.013206</v>
      </c>
      <c r="E325" s="13" t="n">
        <v>0.000699</v>
      </c>
      <c r="F325" s="13" t="n">
        <v>-0.12318</v>
      </c>
      <c r="G325" s="13">
        <f>ROUND(SUM(B325:E325)-F325,5)</f>
        <v/>
      </c>
    </row>
    <row r="326">
      <c r="A326" s="5" t="inlineStr">
        <is>
          <t>2025-04</t>
        </is>
      </c>
      <c r="B326" s="14" t="n">
        <v>-0.120093</v>
      </c>
      <c r="C326" s="14" t="n">
        <v>0.009021</v>
      </c>
      <c r="D326" s="14" t="n">
        <v>0.013199</v>
      </c>
      <c r="E326" s="14" t="n">
        <v>0.000709</v>
      </c>
      <c r="F326" s="14" t="n">
        <v>-0.097164</v>
      </c>
      <c r="G326" s="14">
        <f>ROUND(SUM(B326:E326)-F326,5)</f>
        <v/>
      </c>
    </row>
    <row r="327">
      <c r="A327" s="8" t="inlineStr">
        <is>
          <t>2025-05</t>
        </is>
      </c>
      <c r="B327" s="13" t="n">
        <v>-0.08785999999999999</v>
      </c>
      <c r="C327" s="13" t="n">
        <v>0.005698</v>
      </c>
      <c r="D327" s="13" t="n">
        <v>0.013352</v>
      </c>
      <c r="E327" s="13" t="n">
        <v>0.000712</v>
      </c>
      <c r="F327" s="13" t="n">
        <v>-0.06809800000000001</v>
      </c>
      <c r="G327" s="13">
        <f>ROUND(SUM(B327:E327)-F327,5)</f>
        <v/>
      </c>
    </row>
    <row r="328">
      <c r="A328" s="5" t="inlineStr">
        <is>
          <t>2025-06</t>
        </is>
      </c>
      <c r="B328" s="14" t="n">
        <v>-0.078629</v>
      </c>
      <c r="C328" s="14" t="n">
        <v>0.008569999999999999</v>
      </c>
      <c r="D328" s="14" t="n">
        <v>0.012571</v>
      </c>
      <c r="E328" s="14" t="n">
        <v>0.000563</v>
      </c>
      <c r="F328" s="14" t="n">
        <v>-0.056925</v>
      </c>
      <c r="G328" s="14">
        <f>ROUND(SUM(B328:E328)-F328,5)</f>
        <v/>
      </c>
    </row>
    <row r="329">
      <c r="A329" s="8" t="inlineStr">
        <is>
          <t>2025-07</t>
        </is>
      </c>
      <c r="B329" s="13" t="n">
        <v>-0.054487</v>
      </c>
      <c r="C329" s="13" t="n">
        <v>0.010911</v>
      </c>
      <c r="D329" s="13" t="n">
        <v>0.012446</v>
      </c>
      <c r="E329" s="13" t="n">
        <v>0.00051</v>
      </c>
      <c r="F329" s="13" t="n">
        <v>-0.030621</v>
      </c>
      <c r="G329" s="13">
        <f>ROUND(SUM(B329:E329)-F329,5)</f>
        <v/>
      </c>
    </row>
    <row r="330">
      <c r="A330" s="5" t="inlineStr">
        <is>
          <t>2025-08</t>
        </is>
      </c>
      <c r="B330" s="14" t="n">
        <v>-0.020281</v>
      </c>
      <c r="C330" s="14" t="n">
        <v>0.014017</v>
      </c>
      <c r="D330" s="14" t="n">
        <v>0.012302</v>
      </c>
      <c r="E330" s="14" t="n">
        <v>0.00051</v>
      </c>
      <c r="F330" s="14" t="n">
        <v>0.006547</v>
      </c>
      <c r="G330" s="14">
        <f>ROUND(SUM(B330:E330)-F330,5)</f>
        <v/>
      </c>
    </row>
    <row r="331">
      <c r="A331" s="8" t="inlineStr">
        <is>
          <t>2025-09</t>
        </is>
      </c>
      <c r="B331" s="13" t="n">
        <v>0.018331</v>
      </c>
      <c r="C331" s="13" t="n">
        <v>0.020875</v>
      </c>
      <c r="D331" s="13" t="n">
        <v>0.012151</v>
      </c>
      <c r="E331" s="13" t="n">
        <v>0.000549</v>
      </c>
      <c r="F331" s="13" t="n">
        <v>0.051906</v>
      </c>
      <c r="G331" s="13">
        <f>ROUND(SUM(B331:E331)-F331,5)</f>
        <v/>
      </c>
    </row>
    <row r="332">
      <c r="A332" s="5" t="inlineStr">
        <is>
          <t>2025-10</t>
        </is>
      </c>
      <c r="B332" s="14" t="n">
        <v>0.035682</v>
      </c>
      <c r="C332" s="14" t="n">
        <v>0.024295</v>
      </c>
      <c r="D332" s="14" t="n">
        <v>0.012176</v>
      </c>
      <c r="E332" s="14" t="n">
        <v>0.000529</v>
      </c>
      <c r="F332" s="14" t="n">
        <v>0.072683</v>
      </c>
      <c r="G332" s="14">
        <f>ROUND(SUM(B332:E332)-F332,5)</f>
        <v/>
      </c>
    </row>
    <row r="333">
      <c r="A333" s="8" t="inlineStr">
        <is>
          <t>2025-11</t>
        </is>
      </c>
      <c r="B333" s="13" t="n">
        <v>0.06421499999999999</v>
      </c>
      <c r="C333" s="13" t="n">
        <v>0.025933</v>
      </c>
      <c r="D333" s="13" t="n">
        <v>0.012531</v>
      </c>
      <c r="E333" s="13" t="n">
        <v>0.000501</v>
      </c>
      <c r="F333" s="13" t="n">
        <v>0.10318</v>
      </c>
      <c r="G333" s="13">
        <f>ROUND(SUM(B333:E333)-F333,5)</f>
        <v/>
      </c>
    </row>
    <row r="334">
      <c r="A334" s="5" t="inlineStr">
        <is>
          <t>2025-12</t>
        </is>
      </c>
      <c r="B334" s="14" t="n">
        <v>0.121624</v>
      </c>
      <c r="C334" s="14" t="n">
        <v>0.02731</v>
      </c>
      <c r="D334" s="14" t="n">
        <v>0.012427</v>
      </c>
      <c r="E334" s="14" t="n">
        <v>0.000459</v>
      </c>
      <c r="F334" s="14" t="n">
        <v>0.161819</v>
      </c>
      <c r="G334" s="14">
        <f>ROUND(SUM(B334:E334)-F334,5)</f>
        <v/>
      </c>
    </row>
    <row r="335">
      <c r="A335" s="8" t="inlineStr">
        <is>
          <t>2026-01</t>
        </is>
      </c>
      <c r="B335" s="13" t="n">
        <v>1.268545</v>
      </c>
      <c r="C335" s="13" t="n">
        <v>0.023917</v>
      </c>
      <c r="D335" s="13" t="n">
        <v>0.004668</v>
      </c>
      <c r="E335" s="13" t="n">
        <v>-0.000109</v>
      </c>
      <c r="F335" s="13" t="n">
        <v>1.297021</v>
      </c>
      <c r="G335" s="13">
        <f>ROUND(SUM(B335:E335)-F335,5)</f>
        <v/>
      </c>
    </row>
    <row r="336">
      <c r="A336" s="5" t="inlineStr">
        <is>
          <t>2026-02</t>
        </is>
      </c>
      <c r="B336" s="14" t="n">
        <v>0.742746</v>
      </c>
      <c r="C336" s="14" t="n">
        <v>0.001014</v>
      </c>
      <c r="D336" s="14" t="n">
        <v>0.00382</v>
      </c>
      <c r="E336" s="14" t="n">
        <v>0.000124</v>
      </c>
      <c r="F336" s="14" t="n">
        <v>0.747704</v>
      </c>
      <c r="G336" s="14">
        <f>ROUND(SUM(B336:E336)-F336,5)</f>
        <v/>
      </c>
    </row>
    <row r="337">
      <c r="A337" s="8" t="inlineStr">
        <is>
          <t>2026-03</t>
        </is>
      </c>
      <c r="B337" s="13" t="n">
        <v>0.738269</v>
      </c>
      <c r="C337" s="13" t="n">
        <v>0.01094</v>
      </c>
      <c r="D337" s="13" t="n">
        <v>0.00511</v>
      </c>
      <c r="E337" s="13" t="n">
        <v>0.000328</v>
      </c>
      <c r="F337" s="13" t="n">
        <v>0.754646</v>
      </c>
      <c r="G337" s="13">
        <f>ROUND(SUM(B337:E337)-F337,5)</f>
        <v/>
      </c>
    </row>
    <row r="338">
      <c r="A338" s="5" t="inlineStr">
        <is>
          <t>2026-04</t>
        </is>
      </c>
      <c r="B338" s="14" t="n">
        <v>0.747935</v>
      </c>
      <c r="C338" s="14" t="n">
        <v>0.020032</v>
      </c>
      <c r="D338" s="14" t="n">
        <v>0.00475</v>
      </c>
      <c r="E338" s="14" t="n">
        <v>0.000362</v>
      </c>
      <c r="F338" s="14" t="n">
        <v>0.77308</v>
      </c>
      <c r="G338" s="14">
        <f>ROUND(SUM(B338:E338)-F338,5)</f>
        <v/>
      </c>
    </row>
    <row r="339">
      <c r="A339" s="8" t="inlineStr">
        <is>
          <t>2026-05</t>
        </is>
      </c>
      <c r="B339" s="13" t="n">
        <v>0.688977</v>
      </c>
      <c r="C339" s="13" t="n">
        <v>0.01945</v>
      </c>
      <c r="D339" s="13" t="n">
        <v>0.003107</v>
      </c>
      <c r="E339" s="13" t="n">
        <v>0.000299</v>
      </c>
      <c r="F339" s="13" t="n">
        <v>0.711833</v>
      </c>
      <c r="G339" s="13">
        <f>ROUND(SUM(B339:E339)-F339,5)</f>
        <v/>
      </c>
    </row>
    <row r="340">
      <c r="A340" s="5" t="inlineStr">
        <is>
          <t>2026-06</t>
        </is>
      </c>
      <c r="B340" s="14" t="n">
        <v>0.623494</v>
      </c>
      <c r="C340" s="14" t="n">
        <v>0.019448</v>
      </c>
      <c r="D340" s="14" t="n">
        <v>0.003537</v>
      </c>
      <c r="E340" s="14" t="n">
        <v>0.000531</v>
      </c>
      <c r="F340" s="14" t="n">
        <v>0.64701</v>
      </c>
      <c r="G340" s="14">
        <f>ROUND(SUM(B340:E340)-F340,5)</f>
        <v/>
      </c>
    </row>
    <row r="341">
      <c r="A341" s="8" t="inlineStr">
        <is>
          <t>2026-07</t>
        </is>
      </c>
      <c r="B341" s="13" t="n">
        <v>0.627476</v>
      </c>
      <c r="C341" s="13" t="n">
        <v>0.02003</v>
      </c>
      <c r="D341" s="13" t="n">
        <v>0.004507</v>
      </c>
      <c r="E341" s="13" t="n">
        <v>0.00071</v>
      </c>
      <c r="F341" s="13" t="n">
        <v>0.6527230000000001</v>
      </c>
      <c r="G341" s="13">
        <f>ROUND(SUM(B341:E341)-F341,5)</f>
        <v/>
      </c>
    </row>
    <row r="342">
      <c r="A342" s="5" t="inlineStr">
        <is>
          <t>Шалгалт: сүүлийн багана бүх мөрөнд 0 байх ёстой (the check column must read 0 on every row — the bars stack up to the line)</t>
        </is>
      </c>
    </row>
    <row r="343">
      <c r="A343" s="4" t="inlineStr">
        <is>
          <t>Аж үйлдвэр, дэд салбараар — 4 бүлэг. Хувь нэмэр нь АЖ ҮЙЛДВЭРИЙН НИЙТ өсөлтөд эзлэх хувь (each series is its contribution to TOTAL industry growth, so the four charts share one denominator: 65.2723%)</t>
        </is>
      </c>
    </row>
    <row r="345">
      <c r="A345" s="4" t="inlineStr">
        <is>
          <t>Уул уурхайн дэд салбарууд (Mining sub-sectors) — 2026-07</t>
        </is>
      </c>
    </row>
    <row r="346">
      <c r="A346" s="3" t="inlineStr">
        <is>
          <t>Үе (Period)</t>
        </is>
      </c>
      <c r="B346" s="3" t="inlineStr">
        <is>
          <t>Чулуун, хүрэн нүүрс олборлолт</t>
        </is>
      </c>
      <c r="C346" s="3" t="inlineStr">
        <is>
          <t>Газрын түүхий тос, байгалийн хий олборлолт</t>
        </is>
      </c>
      <c r="D346" s="3" t="inlineStr">
        <is>
          <t>Металлын хүдэр олборлолт</t>
        </is>
      </c>
      <c r="E346" s="3" t="inlineStr">
        <is>
          <t>Бусад ашигт малтмал олборлолт</t>
        </is>
      </c>
      <c r="F346" s="3" t="inlineStr">
        <is>
          <t>Уул уурхайн туслах үйл ажиллагаа</t>
        </is>
      </c>
      <c r="G346" s="3" t="inlineStr">
        <is>
          <t>Бүлгийн дүн (Group subtotal)</t>
        </is>
      </c>
    </row>
    <row r="347">
      <c r="A347" s="5" t="inlineStr">
        <is>
          <t>2023-08</t>
        </is>
      </c>
      <c r="B347" s="14" t="n">
        <v>0.498338</v>
      </c>
      <c r="C347" s="14" t="n">
        <v>0.027956</v>
      </c>
      <c r="D347" s="14" t="n">
        <v>0.049737</v>
      </c>
      <c r="E347" s="14" t="n">
        <v>0.035158</v>
      </c>
      <c r="F347" s="14" t="n">
        <v>0.011699</v>
      </c>
      <c r="G347" s="14">
        <f>SUM(B347:F347)</f>
        <v/>
      </c>
    </row>
    <row r="348">
      <c r="A348" s="8" t="inlineStr">
        <is>
          <t>2023-09</t>
        </is>
      </c>
      <c r="B348" s="13" t="n">
        <v>0.459213</v>
      </c>
      <c r="C348" s="13" t="n">
        <v>0.023535</v>
      </c>
      <c r="D348" s="13" t="n">
        <v>0.041682</v>
      </c>
      <c r="E348" s="13" t="n">
        <v>0.034963</v>
      </c>
      <c r="F348" s="13" t="n">
        <v>0.010544</v>
      </c>
      <c r="G348" s="13">
        <f>SUM(B348:F348)</f>
        <v/>
      </c>
    </row>
    <row r="349">
      <c r="A349" s="5" t="inlineStr">
        <is>
          <t>2023-10</t>
        </is>
      </c>
      <c r="B349" s="14" t="n">
        <v>0.437913</v>
      </c>
      <c r="C349" s="14" t="n">
        <v>0.021139</v>
      </c>
      <c r="D349" s="14" t="n">
        <v>0.046111</v>
      </c>
      <c r="E349" s="14" t="n">
        <v>0.03515</v>
      </c>
      <c r="F349" s="14" t="n">
        <v>0.010138</v>
      </c>
      <c r="G349" s="14">
        <f>SUM(B349:F349)</f>
        <v/>
      </c>
    </row>
    <row r="350">
      <c r="A350" s="8" t="inlineStr">
        <is>
          <t>2023-11</t>
        </is>
      </c>
      <c r="B350" s="13" t="n">
        <v>0.42846</v>
      </c>
      <c r="C350" s="13" t="n">
        <v>0.017507</v>
      </c>
      <c r="D350" s="13" t="n">
        <v>0.042525</v>
      </c>
      <c r="E350" s="13" t="n">
        <v>0.034801</v>
      </c>
      <c r="F350" s="13" t="n">
        <v>0.009797999999999999</v>
      </c>
      <c r="G350" s="13">
        <f>SUM(B350:F350)</f>
        <v/>
      </c>
    </row>
    <row r="351">
      <c r="A351" s="5" t="inlineStr">
        <is>
          <t>2023-12</t>
        </is>
      </c>
      <c r="B351" s="14" t="n">
        <v>0.396642</v>
      </c>
      <c r="C351" s="14" t="n">
        <v>0.014963</v>
      </c>
      <c r="D351" s="14" t="n">
        <v>0.028327</v>
      </c>
      <c r="E351" s="14" t="n">
        <v>0.033475</v>
      </c>
      <c r="F351" s="14" t="n">
        <v>0.007668</v>
      </c>
      <c r="G351" s="14">
        <f>SUM(B351:F351)</f>
        <v/>
      </c>
    </row>
    <row r="352">
      <c r="A352" s="8" t="inlineStr">
        <is>
          <t>2024-01</t>
        </is>
      </c>
      <c r="B352" s="13" t="n">
        <v>0.149018</v>
      </c>
      <c r="C352" s="13" t="n">
        <v>-0.001901</v>
      </c>
      <c r="D352" s="13" t="n">
        <v>0.001371</v>
      </c>
      <c r="E352" s="13" t="n">
        <v>0.00902</v>
      </c>
      <c r="F352" s="13" t="n">
        <v>-0.00044</v>
      </c>
      <c r="G352" s="13">
        <f>SUM(B352:F352)</f>
        <v/>
      </c>
    </row>
    <row r="353">
      <c r="A353" s="5" t="inlineStr">
        <is>
          <t>2024-02</t>
        </is>
      </c>
      <c r="B353" s="14" t="n">
        <v>0.099368</v>
      </c>
      <c r="C353" s="14" t="n">
        <v>-0.002837</v>
      </c>
      <c r="D353" s="14" t="n">
        <v>0.025541</v>
      </c>
      <c r="E353" s="14" t="n">
        <v>0.005172</v>
      </c>
      <c r="F353" s="14" t="n">
        <v>-0.000607</v>
      </c>
      <c r="G353" s="14">
        <f>SUM(B353:F353)</f>
        <v/>
      </c>
    </row>
    <row r="354">
      <c r="A354" s="8" t="inlineStr">
        <is>
          <t>2024-03</t>
        </is>
      </c>
      <c r="B354" s="13" t="n">
        <v>0.097164</v>
      </c>
      <c r="C354" s="13" t="n">
        <v>-0.002919</v>
      </c>
      <c r="D354" s="13" t="n">
        <v>0.020956</v>
      </c>
      <c r="E354" s="13" t="n">
        <v>0.003291</v>
      </c>
      <c r="F354" s="13" t="n">
        <v>-0.000497</v>
      </c>
      <c r="G354" s="13">
        <f>SUM(B354:F354)</f>
        <v/>
      </c>
    </row>
    <row r="355">
      <c r="A355" s="5" t="inlineStr">
        <is>
          <t>2024-04</t>
        </is>
      </c>
      <c r="B355" s="14" t="n">
        <v>0.09515800000000001</v>
      </c>
      <c r="C355" s="14" t="n">
        <v>-0.002632</v>
      </c>
      <c r="D355" s="14" t="n">
        <v>0.032519</v>
      </c>
      <c r="E355" s="14" t="n">
        <v>0.003026</v>
      </c>
      <c r="F355" s="14" t="n">
        <v>-0.0007560000000000001</v>
      </c>
      <c r="G355" s="14">
        <f>SUM(B355:F355)</f>
        <v/>
      </c>
    </row>
    <row r="356">
      <c r="A356" s="8" t="inlineStr">
        <is>
          <t>2024-05</t>
        </is>
      </c>
      <c r="B356" s="13" t="n">
        <v>0.123638</v>
      </c>
      <c r="C356" s="13" t="n">
        <v>-0.002504</v>
      </c>
      <c r="D356" s="13" t="n">
        <v>0.038706</v>
      </c>
      <c r="E356" s="13" t="n">
        <v>0.003441</v>
      </c>
      <c r="F356" s="13" t="n">
        <v>-0.00158</v>
      </c>
      <c r="G356" s="13">
        <f>SUM(B356:F356)</f>
        <v/>
      </c>
    </row>
    <row r="357">
      <c r="A357" s="5" t="inlineStr">
        <is>
          <t>2024-06</t>
        </is>
      </c>
      <c r="B357" s="14" t="n">
        <v>0.14854</v>
      </c>
      <c r="C357" s="14" t="n">
        <v>-0.002227</v>
      </c>
      <c r="D357" s="14" t="n">
        <v>0.038482</v>
      </c>
      <c r="E357" s="14" t="n">
        <v>0.003314</v>
      </c>
      <c r="F357" s="14" t="n">
        <v>-0.001435</v>
      </c>
      <c r="G357" s="14">
        <f>SUM(B357:F357)</f>
        <v/>
      </c>
    </row>
    <row r="358">
      <c r="A358" s="8" t="inlineStr">
        <is>
          <t>2024-07</t>
        </is>
      </c>
      <c r="B358" s="13" t="n">
        <v>0.139946</v>
      </c>
      <c r="C358" s="13" t="n">
        <v>-0.002331</v>
      </c>
      <c r="D358" s="13" t="n">
        <v>0.0231</v>
      </c>
      <c r="E358" s="13" t="n">
        <v>0.005121</v>
      </c>
      <c r="F358" s="13" t="n">
        <v>-0.001149</v>
      </c>
      <c r="G358" s="13">
        <f>SUM(B358:F358)</f>
        <v/>
      </c>
    </row>
    <row r="359">
      <c r="A359" s="5" t="inlineStr">
        <is>
          <t>2024-08</t>
        </is>
      </c>
      <c r="B359" s="14" t="n">
        <v>0.115881</v>
      </c>
      <c r="C359" s="14" t="n">
        <v>-0.002308</v>
      </c>
      <c r="D359" s="14" t="n">
        <v>0.015312</v>
      </c>
      <c r="E359" s="14" t="n">
        <v>0.004529</v>
      </c>
      <c r="F359" s="14" t="n">
        <v>-0.001389</v>
      </c>
      <c r="G359" s="14">
        <f>SUM(B359:F359)</f>
        <v/>
      </c>
    </row>
    <row r="360">
      <c r="A360" s="8" t="inlineStr">
        <is>
          <t>2024-09</t>
        </is>
      </c>
      <c r="B360" s="13" t="n">
        <v>0.092887</v>
      </c>
      <c r="C360" s="13" t="n">
        <v>-0.002873</v>
      </c>
      <c r="D360" s="13" t="n">
        <v>0.019694</v>
      </c>
      <c r="E360" s="13" t="n">
        <v>0.003945</v>
      </c>
      <c r="F360" s="13" t="n">
        <v>-0.001576</v>
      </c>
      <c r="G360" s="13">
        <f>SUM(B360:F360)</f>
        <v/>
      </c>
    </row>
    <row r="361">
      <c r="A361" s="5" t="inlineStr">
        <is>
          <t>2024-10</t>
        </is>
      </c>
      <c r="B361" s="14" t="n">
        <v>0.07321</v>
      </c>
      <c r="C361" s="14" t="n">
        <v>-0.003396</v>
      </c>
      <c r="D361" s="14" t="n">
        <v>0.031658</v>
      </c>
      <c r="E361" s="14" t="n">
        <v>0.004071</v>
      </c>
      <c r="F361" s="14" t="n">
        <v>-0.001256</v>
      </c>
      <c r="G361" s="14">
        <f>SUM(B361:F361)</f>
        <v/>
      </c>
    </row>
    <row r="362">
      <c r="A362" s="8" t="inlineStr">
        <is>
          <t>2024-11</t>
        </is>
      </c>
      <c r="B362" s="13" t="n">
        <v>0.047292</v>
      </c>
      <c r="C362" s="13" t="n">
        <v>-0.003363</v>
      </c>
      <c r="D362" s="13" t="n">
        <v>0.034401</v>
      </c>
      <c r="E362" s="13" t="n">
        <v>0.004025</v>
      </c>
      <c r="F362" s="13" t="n">
        <v>-0.000969</v>
      </c>
      <c r="G362" s="13">
        <f>SUM(B362:F362)</f>
        <v/>
      </c>
    </row>
    <row r="363">
      <c r="A363" s="5" t="inlineStr">
        <is>
          <t>2024-12</t>
        </is>
      </c>
      <c r="B363" s="14" t="n">
        <v>0.023207</v>
      </c>
      <c r="C363" s="14" t="n">
        <v>-0.003476</v>
      </c>
      <c r="D363" s="14" t="n">
        <v>0.034869</v>
      </c>
      <c r="E363" s="14" t="n">
        <v>0.004387</v>
      </c>
      <c r="F363" s="14" t="n">
        <v>-0.00054</v>
      </c>
      <c r="G363" s="14">
        <f>SUM(B363:F363)</f>
        <v/>
      </c>
    </row>
    <row r="364">
      <c r="A364" s="8" t="inlineStr">
        <is>
          <t>2025-01</t>
        </is>
      </c>
      <c r="B364" s="13" t="n">
        <v>-0.245242</v>
      </c>
      <c r="C364" s="13" t="n">
        <v>-0.005244</v>
      </c>
      <c r="D364" s="13" t="n">
        <v>0.063376</v>
      </c>
      <c r="E364" s="13" t="n">
        <v>0.018534</v>
      </c>
      <c r="F364" s="13" t="n">
        <v>0.00372</v>
      </c>
      <c r="G364" s="13">
        <f>SUM(B364:F364)</f>
        <v/>
      </c>
    </row>
    <row r="365">
      <c r="A365" s="5" t="inlineStr">
        <is>
          <t>2025-02</t>
        </is>
      </c>
      <c r="B365" s="14" t="n">
        <v>-0.210656</v>
      </c>
      <c r="C365" s="14" t="n">
        <v>-0.003287</v>
      </c>
      <c r="D365" s="14" t="n">
        <v>0.046833</v>
      </c>
      <c r="E365" s="14" t="n">
        <v>0.011525</v>
      </c>
      <c r="F365" s="14" t="n">
        <v>0.008751999999999999</v>
      </c>
      <c r="G365" s="14">
        <f>SUM(B365:F365)</f>
        <v/>
      </c>
    </row>
    <row r="366">
      <c r="A366" s="8" t="inlineStr">
        <is>
          <t>2025-03</t>
        </is>
      </c>
      <c r="B366" s="13" t="n">
        <v>-0.229088</v>
      </c>
      <c r="C366" s="13" t="n">
        <v>-0.003221</v>
      </c>
      <c r="D366" s="13" t="n">
        <v>0.066913</v>
      </c>
      <c r="E366" s="13" t="n">
        <v>0.009619000000000001</v>
      </c>
      <c r="F366" s="13" t="n">
        <v>0.006142</v>
      </c>
      <c r="G366" s="13">
        <f>SUM(B366:F366)</f>
        <v/>
      </c>
    </row>
    <row r="367">
      <c r="A367" s="5" t="inlineStr">
        <is>
          <t>2025-04</t>
        </is>
      </c>
      <c r="B367" s="14" t="n">
        <v>-0.20369</v>
      </c>
      <c r="C367" s="14" t="n">
        <v>-0.004303</v>
      </c>
      <c r="D367" s="14" t="n">
        <v>0.075415</v>
      </c>
      <c r="E367" s="14" t="n">
        <v>0.007567</v>
      </c>
      <c r="F367" s="14" t="n">
        <v>0.004918</v>
      </c>
      <c r="G367" s="14">
        <f>SUM(B367:F367)</f>
        <v/>
      </c>
    </row>
    <row r="368">
      <c r="A368" s="8" t="inlineStr">
        <is>
          <t>2025-05</t>
        </is>
      </c>
      <c r="B368" s="13" t="n">
        <v>-0.203018</v>
      </c>
      <c r="C368" s="13" t="n">
        <v>-0.004257</v>
      </c>
      <c r="D368" s="13" t="n">
        <v>0.109235</v>
      </c>
      <c r="E368" s="13" t="n">
        <v>0.006136</v>
      </c>
      <c r="F368" s="13" t="n">
        <v>0.004043</v>
      </c>
      <c r="G368" s="13">
        <f>SUM(B368:F368)</f>
        <v/>
      </c>
    </row>
    <row r="369">
      <c r="A369" s="5" t="inlineStr">
        <is>
          <t>2025-06</t>
        </is>
      </c>
      <c r="B369" s="14" t="n">
        <v>-0.218733</v>
      </c>
      <c r="C369" s="14" t="n">
        <v>-0.003356</v>
      </c>
      <c r="D369" s="14" t="n">
        <v>0.137316</v>
      </c>
      <c r="E369" s="14" t="n">
        <v>0.003914</v>
      </c>
      <c r="F369" s="14" t="n">
        <v>0.00223</v>
      </c>
      <c r="G369" s="14">
        <f>SUM(B369:F369)</f>
        <v/>
      </c>
    </row>
    <row r="370">
      <c r="A370" s="8" t="inlineStr">
        <is>
          <t>2025-07</t>
        </is>
      </c>
      <c r="B370" s="13" t="n">
        <v>-0.209513</v>
      </c>
      <c r="C370" s="13" t="n">
        <v>-0.003278</v>
      </c>
      <c r="D370" s="13" t="n">
        <v>0.154685</v>
      </c>
      <c r="E370" s="13" t="n">
        <v>0.001937</v>
      </c>
      <c r="F370" s="13" t="n">
        <v>0.001681</v>
      </c>
      <c r="G370" s="13">
        <f>SUM(B370:F370)</f>
        <v/>
      </c>
    </row>
    <row r="371">
      <c r="A371" s="5" t="inlineStr">
        <is>
          <t>2025-08</t>
        </is>
      </c>
      <c r="B371" s="14" t="n">
        <v>-0.199614</v>
      </c>
      <c r="C371" s="14" t="n">
        <v>-0.003337</v>
      </c>
      <c r="D371" s="14" t="n">
        <v>0.179092</v>
      </c>
      <c r="E371" s="14" t="n">
        <v>0.001966</v>
      </c>
      <c r="F371" s="14" t="n">
        <v>0.001612</v>
      </c>
      <c r="G371" s="14">
        <f>SUM(B371:F371)</f>
        <v/>
      </c>
    </row>
    <row r="372">
      <c r="A372" s="8" t="inlineStr">
        <is>
          <t>2025-09</t>
        </is>
      </c>
      <c r="B372" s="13" t="n">
        <v>-0.179574</v>
      </c>
      <c r="C372" s="13" t="n">
        <v>-0.003435</v>
      </c>
      <c r="D372" s="13" t="n">
        <v>0.197875</v>
      </c>
      <c r="E372" s="13" t="n">
        <v>0.001964</v>
      </c>
      <c r="F372" s="13" t="n">
        <v>0.001501</v>
      </c>
      <c r="G372" s="13">
        <f>SUM(B372:F372)</f>
        <v/>
      </c>
    </row>
    <row r="373">
      <c r="A373" s="5" t="inlineStr">
        <is>
          <t>2025-10</t>
        </is>
      </c>
      <c r="B373" s="14" t="n">
        <v>-0.167989</v>
      </c>
      <c r="C373" s="14" t="n">
        <v>-0.003455</v>
      </c>
      <c r="D373" s="14" t="n">
        <v>0.20446</v>
      </c>
      <c r="E373" s="14" t="n">
        <v>0.001618</v>
      </c>
      <c r="F373" s="14" t="n">
        <v>0.001049</v>
      </c>
      <c r="G373" s="14">
        <f>SUM(B373:F373)</f>
        <v/>
      </c>
    </row>
    <row r="374">
      <c r="A374" s="8" t="inlineStr">
        <is>
          <t>2025-11</t>
        </is>
      </c>
      <c r="B374" s="13" t="n">
        <v>-0.150097</v>
      </c>
      <c r="C374" s="13" t="n">
        <v>-0.003656</v>
      </c>
      <c r="D374" s="13" t="n">
        <v>0.215302</v>
      </c>
      <c r="E374" s="13" t="n">
        <v>0.001658</v>
      </c>
      <c r="F374" s="13" t="n">
        <v>0.001009</v>
      </c>
      <c r="G374" s="13">
        <f>SUM(B374:F374)</f>
        <v/>
      </c>
    </row>
    <row r="375">
      <c r="A375" s="5" t="inlineStr">
        <is>
          <t>2025-12</t>
        </is>
      </c>
      <c r="B375" s="14" t="n">
        <v>-0.126698</v>
      </c>
      <c r="C375" s="14" t="n">
        <v>-0.003775</v>
      </c>
      <c r="D375" s="14" t="n">
        <v>0.249577</v>
      </c>
      <c r="E375" s="14" t="n">
        <v>0.001719</v>
      </c>
      <c r="F375" s="14" t="n">
        <v>0.000801</v>
      </c>
      <c r="G375" s="14">
        <f>SUM(B375:F375)</f>
        <v/>
      </c>
    </row>
    <row r="376">
      <c r="A376" s="8" t="inlineStr">
        <is>
          <t>2026-01</t>
        </is>
      </c>
      <c r="B376" s="13" t="n">
        <v>0.262197</v>
      </c>
      <c r="C376" s="13" t="n">
        <v>-0.005445</v>
      </c>
      <c r="D376" s="13" t="n">
        <v>1.024831</v>
      </c>
      <c r="E376" s="13" t="n">
        <v>-0.011552</v>
      </c>
      <c r="F376" s="13" t="n">
        <v>-0.001485</v>
      </c>
      <c r="G376" s="13">
        <f>SUM(B376:F376)</f>
        <v/>
      </c>
    </row>
    <row r="377">
      <c r="A377" s="5" t="inlineStr">
        <is>
          <t>2026-02</t>
        </is>
      </c>
      <c r="B377" s="14" t="n">
        <v>0.15384</v>
      </c>
      <c r="C377" s="14" t="n">
        <v>-0.006669</v>
      </c>
      <c r="D377" s="14" t="n">
        <v>0.604328</v>
      </c>
      <c r="E377" s="14" t="n">
        <v>-0.00145</v>
      </c>
      <c r="F377" s="14" t="n">
        <v>-0.007304</v>
      </c>
      <c r="G377" s="14">
        <f>SUM(B377:F377)</f>
        <v/>
      </c>
    </row>
    <row r="378">
      <c r="A378" s="8" t="inlineStr">
        <is>
          <t>2026-03</t>
        </is>
      </c>
      <c r="B378" s="13" t="n">
        <v>0.211042</v>
      </c>
      <c r="C378" s="13" t="n">
        <v>-0.004089</v>
      </c>
      <c r="D378" s="13" t="n">
        <v>0.5361629999999999</v>
      </c>
      <c r="E378" s="13" t="n">
        <v>-0.000726</v>
      </c>
      <c r="F378" s="13" t="n">
        <v>-0.004121</v>
      </c>
      <c r="G378" s="13">
        <f>SUM(B378:F378)</f>
        <v/>
      </c>
    </row>
    <row r="379">
      <c r="A379" s="5" t="inlineStr">
        <is>
          <t>2026-04</t>
        </is>
      </c>
      <c r="B379" s="14" t="n">
        <v>0.214986</v>
      </c>
      <c r="C379" s="14" t="n">
        <v>-0.001257</v>
      </c>
      <c r="D379" s="14" t="n">
        <v>0.536044</v>
      </c>
      <c r="E379" s="14" t="n">
        <v>0.000347</v>
      </c>
      <c r="F379" s="14" t="n">
        <v>-0.002184</v>
      </c>
      <c r="G379" s="14">
        <f>SUM(B379:F379)</f>
        <v/>
      </c>
    </row>
    <row r="380">
      <c r="A380" s="8" t="inlineStr">
        <is>
          <t>2026-05</t>
        </is>
      </c>
      <c r="B380" s="13" t="n">
        <v>0.208334</v>
      </c>
      <c r="C380" s="13" t="n">
        <v>7.499999999999999e-05</v>
      </c>
      <c r="D380" s="13" t="n">
        <v>0.480684</v>
      </c>
      <c r="E380" s="13" t="n">
        <v>0.000373</v>
      </c>
      <c r="F380" s="13" t="n">
        <v>-0.00049</v>
      </c>
      <c r="G380" s="13">
        <f>SUM(B380:F380)</f>
        <v/>
      </c>
    </row>
    <row r="381">
      <c r="A381" s="5" t="inlineStr">
        <is>
          <t>2026-06</t>
        </is>
      </c>
      <c r="B381" s="14" t="n">
        <v>0.225361</v>
      </c>
      <c r="C381" s="14" t="n">
        <v>0.000381</v>
      </c>
      <c r="D381" s="14" t="n">
        <v>0.394445</v>
      </c>
      <c r="E381" s="14" t="n">
        <v>0.001801</v>
      </c>
      <c r="F381" s="14" t="n">
        <v>0.001506</v>
      </c>
      <c r="G381" s="14">
        <f>SUM(B381:F381)</f>
        <v/>
      </c>
    </row>
    <row r="382">
      <c r="A382" s="8" t="inlineStr">
        <is>
          <t>2026-07</t>
        </is>
      </c>
      <c r="B382" s="13" t="n">
        <v>0.221425</v>
      </c>
      <c r="C382" s="13" t="n">
        <v>3.2e-05</v>
      </c>
      <c r="D382" s="13" t="n">
        <v>0.400676</v>
      </c>
      <c r="E382" s="13" t="n">
        <v>0.003314</v>
      </c>
      <c r="F382" s="13" t="n">
        <v>0.002029</v>
      </c>
      <c r="G382" s="13">
        <f>SUM(B382:F382)</f>
        <v/>
      </c>
    </row>
    <row r="404">
      <c r="A404" s="4" t="inlineStr">
        <is>
          <t>Хүнсний үйлдвэрлэл (Food processing) — 2026-07</t>
        </is>
      </c>
    </row>
    <row r="405">
      <c r="A405" s="3" t="inlineStr">
        <is>
          <t>Үе (Period)</t>
        </is>
      </c>
      <c r="B405" s="3" t="inlineStr">
        <is>
          <t>Мах боловсруулах, консервлох</t>
        </is>
      </c>
      <c r="C405" s="3" t="inlineStr">
        <is>
          <t>Жимс болон төмс, хүнсний ногоо боловсруулалт, хадгалалт</t>
        </is>
      </c>
      <c r="D405" s="3" t="inlineStr">
        <is>
          <t>Сүүн бүтээгдэхүүн үйлдвэрлэл</t>
        </is>
      </c>
      <c r="E405" s="3" t="inlineStr">
        <is>
          <t>Yр тарианы гурлын болон цардуул, цардууллаг бүтээгдэхүүн үйлдвэрлэл</t>
        </is>
      </c>
      <c r="F405" s="3" t="inlineStr">
        <is>
          <t>Хүнсний бусад бүтээгдэхүүн үйлдвэрлэл</t>
        </is>
      </c>
      <c r="G405" s="3" t="inlineStr">
        <is>
          <t>Бүлгийн дүн (Group subtotal)</t>
        </is>
      </c>
    </row>
    <row r="406">
      <c r="A406" s="5" t="inlineStr">
        <is>
          <t>2023-08</t>
        </is>
      </c>
      <c r="B406" s="14" t="n">
        <v>0.021385</v>
      </c>
      <c r="C406" s="14" t="n">
        <v>0.000477</v>
      </c>
      <c r="D406" s="14" t="n">
        <v>0.003869</v>
      </c>
      <c r="E406" s="14" t="n">
        <v>0.004208</v>
      </c>
      <c r="F406" s="14" t="n">
        <v>0.004971</v>
      </c>
      <c r="G406" s="14">
        <f>SUM(B406:F406)</f>
        <v/>
      </c>
    </row>
    <row r="407">
      <c r="A407" s="8" t="inlineStr">
        <is>
          <t>2023-09</t>
        </is>
      </c>
      <c r="B407" s="13" t="n">
        <v>0.021623</v>
      </c>
      <c r="C407" s="13" t="n">
        <v>0.000384</v>
      </c>
      <c r="D407" s="13" t="n">
        <v>0.003724</v>
      </c>
      <c r="E407" s="13" t="n">
        <v>0.003528</v>
      </c>
      <c r="F407" s="13" t="n">
        <v>0.004836</v>
      </c>
      <c r="G407" s="13">
        <f>SUM(B407:F407)</f>
        <v/>
      </c>
    </row>
    <row r="408">
      <c r="A408" s="5" t="inlineStr">
        <is>
          <t>2023-10</t>
        </is>
      </c>
      <c r="B408" s="14" t="n">
        <v>0.021683</v>
      </c>
      <c r="C408" s="14" t="n">
        <v>0.000353</v>
      </c>
      <c r="D408" s="14" t="n">
        <v>0.003503</v>
      </c>
      <c r="E408" s="14" t="n">
        <v>0.003187</v>
      </c>
      <c r="F408" s="14" t="n">
        <v>0.004734</v>
      </c>
      <c r="G408" s="14">
        <f>SUM(B408:F408)</f>
        <v/>
      </c>
    </row>
    <row r="409">
      <c r="A409" s="8" t="inlineStr">
        <is>
          <t>2023-11</t>
        </is>
      </c>
      <c r="B409" s="13" t="n">
        <v>0.02118</v>
      </c>
      <c r="C409" s="13" t="n">
        <v>0.000353</v>
      </c>
      <c r="D409" s="13" t="n">
        <v>0.003363</v>
      </c>
      <c r="E409" s="13" t="n">
        <v>0.002412</v>
      </c>
      <c r="F409" s="13" t="n">
        <v>0.00463</v>
      </c>
      <c r="G409" s="13">
        <f>SUM(B409:F409)</f>
        <v/>
      </c>
    </row>
    <row r="410">
      <c r="A410" s="5" t="inlineStr">
        <is>
          <t>2023-12</t>
        </is>
      </c>
      <c r="B410" s="14" t="n">
        <v>0.020081</v>
      </c>
      <c r="C410" s="14" t="n">
        <v>0.00032</v>
      </c>
      <c r="D410" s="14" t="n">
        <v>0.00312</v>
      </c>
      <c r="E410" s="14" t="n">
        <v>0.002096</v>
      </c>
      <c r="F410" s="14" t="n">
        <v>0.004261</v>
      </c>
      <c r="G410" s="14">
        <f>SUM(B410:F410)</f>
        <v/>
      </c>
    </row>
    <row r="411">
      <c r="A411" s="8" t="inlineStr">
        <is>
          <t>2024-01</t>
        </is>
      </c>
      <c r="B411" s="13" t="n">
        <v>-0.003451</v>
      </c>
      <c r="C411" s="13" t="n">
        <v>0.000886</v>
      </c>
      <c r="D411" s="13" t="n">
        <v>0.003429</v>
      </c>
      <c r="E411" s="13" t="n">
        <v>0.002128</v>
      </c>
      <c r="F411" s="13" t="n">
        <v>0.005497</v>
      </c>
      <c r="G411" s="13">
        <f>SUM(B411:F411)</f>
        <v/>
      </c>
    </row>
    <row r="412">
      <c r="A412" s="5" t="inlineStr">
        <is>
          <t>2024-02</t>
        </is>
      </c>
      <c r="B412" s="14" t="n">
        <v>-0.007322</v>
      </c>
      <c r="C412" s="14" t="n">
        <v>0.000296</v>
      </c>
      <c r="D412" s="14" t="n">
        <v>0.002214</v>
      </c>
      <c r="E412" s="14" t="n">
        <v>0.000232</v>
      </c>
      <c r="F412" s="14" t="n">
        <v>0.00329</v>
      </c>
      <c r="G412" s="14">
        <f>SUM(B412:F412)</f>
        <v/>
      </c>
    </row>
    <row r="413">
      <c r="A413" s="8" t="inlineStr">
        <is>
          <t>2024-03</t>
        </is>
      </c>
      <c r="B413" s="13" t="n">
        <v>-0.006805</v>
      </c>
      <c r="C413" s="13" t="n">
        <v>0.000298</v>
      </c>
      <c r="D413" s="13" t="n">
        <v>0.00218</v>
      </c>
      <c r="E413" s="13" t="n">
        <v>0.000147</v>
      </c>
      <c r="F413" s="13" t="n">
        <v>0.003321</v>
      </c>
      <c r="G413" s="13">
        <f>SUM(B413:F413)</f>
        <v/>
      </c>
    </row>
    <row r="414">
      <c r="A414" s="5" t="inlineStr">
        <is>
          <t>2024-04</t>
        </is>
      </c>
      <c r="B414" s="14" t="n">
        <v>-0.005606</v>
      </c>
      <c r="C414" s="14" t="n">
        <v>0.000316</v>
      </c>
      <c r="D414" s="14" t="n">
        <v>0.002023</v>
      </c>
      <c r="E414" s="14" t="n">
        <v>0.000153</v>
      </c>
      <c r="F414" s="14" t="n">
        <v>0.002971</v>
      </c>
      <c r="G414" s="14">
        <f>SUM(B414:F414)</f>
        <v/>
      </c>
    </row>
    <row r="415">
      <c r="A415" s="8" t="inlineStr">
        <is>
          <t>2024-05</t>
        </is>
      </c>
      <c r="B415" s="13" t="n">
        <v>-0.005863</v>
      </c>
      <c r="C415" s="13" t="n">
        <v>0.000334</v>
      </c>
      <c r="D415" s="13" t="n">
        <v>0.001919</v>
      </c>
      <c r="E415" s="13" t="n">
        <v>-0.000376</v>
      </c>
      <c r="F415" s="13" t="n">
        <v>0.00279</v>
      </c>
      <c r="G415" s="13">
        <f>SUM(B415:F415)</f>
        <v/>
      </c>
    </row>
    <row r="416">
      <c r="A416" s="5" t="inlineStr">
        <is>
          <t>2024-06</t>
        </is>
      </c>
      <c r="B416" s="14" t="n">
        <v>-0.004669</v>
      </c>
      <c r="C416" s="14" t="n">
        <v>0.00034</v>
      </c>
      <c r="D416" s="14" t="n">
        <v>0.001767</v>
      </c>
      <c r="E416" s="14" t="n">
        <v>-0.0006310000000000001</v>
      </c>
      <c r="F416" s="14" t="n">
        <v>0.00248</v>
      </c>
      <c r="G416" s="14">
        <f>SUM(B416:F416)</f>
        <v/>
      </c>
    </row>
    <row r="417">
      <c r="A417" s="8" t="inlineStr">
        <is>
          <t>2024-07</t>
        </is>
      </c>
      <c r="B417" s="13" t="n">
        <v>-0.003808</v>
      </c>
      <c r="C417" s="13" t="n">
        <v>0.000336</v>
      </c>
      <c r="D417" s="13" t="n">
        <v>0.001575</v>
      </c>
      <c r="E417" s="13" t="n">
        <v>-0.0006980000000000001</v>
      </c>
      <c r="F417" s="13" t="n">
        <v>0.002186</v>
      </c>
      <c r="G417" s="13">
        <f>SUM(B417:F417)</f>
        <v/>
      </c>
    </row>
    <row r="418">
      <c r="A418" s="5" t="inlineStr">
        <is>
          <t>2024-08</t>
        </is>
      </c>
      <c r="B418" s="14" t="n">
        <v>-0.002518</v>
      </c>
      <c r="C418" s="14" t="n">
        <v>0.000354</v>
      </c>
      <c r="D418" s="14" t="n">
        <v>0.001524</v>
      </c>
      <c r="E418" s="14" t="n">
        <v>-0.000686</v>
      </c>
      <c r="F418" s="14" t="n">
        <v>0.002029</v>
      </c>
      <c r="G418" s="14">
        <f>SUM(B418:F418)</f>
        <v/>
      </c>
    </row>
    <row r="419">
      <c r="A419" s="8" t="inlineStr">
        <is>
          <t>2024-09</t>
        </is>
      </c>
      <c r="B419" s="13" t="n">
        <v>-0.001377</v>
      </c>
      <c r="C419" s="13" t="n">
        <v>0.000414</v>
      </c>
      <c r="D419" s="13" t="n">
        <v>0.001687</v>
      </c>
      <c r="E419" s="13" t="n">
        <v>-0.00059</v>
      </c>
      <c r="F419" s="13" t="n">
        <v>0.001945</v>
      </c>
      <c r="G419" s="13">
        <f>SUM(B419:F419)</f>
        <v/>
      </c>
    </row>
    <row r="420">
      <c r="A420" s="5" t="inlineStr">
        <is>
          <t>2024-10</t>
        </is>
      </c>
      <c r="B420" s="14" t="n">
        <v>-0.000423</v>
      </c>
      <c r="C420" s="14" t="n">
        <v>0.000433</v>
      </c>
      <c r="D420" s="14" t="n">
        <v>0.001733</v>
      </c>
      <c r="E420" s="14" t="n">
        <v>-0.000656</v>
      </c>
      <c r="F420" s="14" t="n">
        <v>0.001879</v>
      </c>
      <c r="G420" s="14">
        <f>SUM(B420:F420)</f>
        <v/>
      </c>
    </row>
    <row r="421">
      <c r="A421" s="8" t="inlineStr">
        <is>
          <t>2024-11</t>
        </is>
      </c>
      <c r="B421" s="13" t="n">
        <v>0.000287</v>
      </c>
      <c r="C421" s="13" t="n">
        <v>0.000404</v>
      </c>
      <c r="D421" s="13" t="n">
        <v>0.001684</v>
      </c>
      <c r="E421" s="13" t="n">
        <v>-0.000439</v>
      </c>
      <c r="F421" s="13" t="n">
        <v>0.001764</v>
      </c>
      <c r="G421" s="13">
        <f>SUM(B421:F421)</f>
        <v/>
      </c>
    </row>
    <row r="422">
      <c r="A422" s="5" t="inlineStr">
        <is>
          <t>2024-12</t>
        </is>
      </c>
      <c r="B422" s="14" t="n">
        <v>0.001543</v>
      </c>
      <c r="C422" s="14" t="n">
        <v>0.00042</v>
      </c>
      <c r="D422" s="14" t="n">
        <v>0.001602</v>
      </c>
      <c r="E422" s="14" t="n">
        <v>-0.0004929999999999999</v>
      </c>
      <c r="F422" s="14" t="n">
        <v>0.001818</v>
      </c>
      <c r="G422" s="14">
        <f>SUM(B422:F422)</f>
        <v/>
      </c>
    </row>
    <row r="423">
      <c r="A423" s="8" t="inlineStr">
        <is>
          <t>2025-01</t>
        </is>
      </c>
      <c r="B423" s="13" t="n">
        <v>-0.000197</v>
      </c>
      <c r="C423" s="13" t="n">
        <v>-0.000274</v>
      </c>
      <c r="D423" s="13" t="n">
        <v>-0.000156</v>
      </c>
      <c r="E423" s="13" t="n">
        <v>-0.004216</v>
      </c>
      <c r="F423" s="13" t="n">
        <v>-0.000908</v>
      </c>
      <c r="G423" s="13">
        <f>SUM(B423:F423)</f>
        <v/>
      </c>
    </row>
    <row r="424">
      <c r="A424" s="5" t="inlineStr">
        <is>
          <t>2025-02</t>
        </is>
      </c>
      <c r="B424" s="14" t="n">
        <v>0.001644</v>
      </c>
      <c r="C424" s="14" t="n">
        <v>0.000569</v>
      </c>
      <c r="D424" s="14" t="n">
        <v>0.002492</v>
      </c>
      <c r="E424" s="14" t="n">
        <v>-0.001556</v>
      </c>
      <c r="F424" s="14" t="n">
        <v>0.00248</v>
      </c>
      <c r="G424" s="14">
        <f>SUM(B424:F424)</f>
        <v/>
      </c>
    </row>
    <row r="425">
      <c r="A425" s="8" t="inlineStr">
        <is>
          <t>2025-03</t>
        </is>
      </c>
      <c r="B425" s="13" t="n">
        <v>-0.000655</v>
      </c>
      <c r="C425" s="13" t="n">
        <v>0.000358</v>
      </c>
      <c r="D425" s="13" t="n">
        <v>-7.3e-05</v>
      </c>
      <c r="E425" s="13" t="n">
        <v>-0.001649</v>
      </c>
      <c r="F425" s="13" t="n">
        <v>0.000695</v>
      </c>
      <c r="G425" s="13">
        <f>SUM(B425:F425)</f>
        <v/>
      </c>
    </row>
    <row r="426">
      <c r="A426" s="5" t="inlineStr">
        <is>
          <t>2025-04</t>
        </is>
      </c>
      <c r="B426" s="14" t="n">
        <v>-0.000547</v>
      </c>
      <c r="C426" s="14" t="n">
        <v>0.000321</v>
      </c>
      <c r="D426" s="14" t="n">
        <v>-0.001231</v>
      </c>
      <c r="E426" s="14" t="n">
        <v>-0.00184</v>
      </c>
      <c r="F426" s="14" t="n">
        <v>0.000947</v>
      </c>
      <c r="G426" s="14">
        <f>SUM(B426:F426)</f>
        <v/>
      </c>
    </row>
    <row r="427">
      <c r="A427" s="8" t="inlineStr">
        <is>
          <t>2025-05</t>
        </is>
      </c>
      <c r="B427" s="13" t="n">
        <v>0.00128</v>
      </c>
      <c r="C427" s="13" t="n">
        <v>0.000329</v>
      </c>
      <c r="D427" s="13" t="n">
        <v>-0.001101</v>
      </c>
      <c r="E427" s="13" t="n">
        <v>-0.001406</v>
      </c>
      <c r="F427" s="13" t="n">
        <v>0.001083</v>
      </c>
      <c r="G427" s="13">
        <f>SUM(B427:F427)</f>
        <v/>
      </c>
    </row>
    <row r="428">
      <c r="A428" s="5" t="inlineStr">
        <is>
          <t>2025-06</t>
        </is>
      </c>
      <c r="B428" s="14" t="n">
        <v>0.002771</v>
      </c>
      <c r="C428" s="14" t="n">
        <v>0.000316</v>
      </c>
      <c r="D428" s="14" t="n">
        <v>-0.000726</v>
      </c>
      <c r="E428" s="14" t="n">
        <v>-0.001</v>
      </c>
      <c r="F428" s="14" t="n">
        <v>0.001296</v>
      </c>
      <c r="G428" s="14">
        <f>SUM(B428:F428)</f>
        <v/>
      </c>
    </row>
    <row r="429">
      <c r="A429" s="8" t="inlineStr">
        <is>
          <t>2025-07</t>
        </is>
      </c>
      <c r="B429" s="13" t="n">
        <v>0.003393</v>
      </c>
      <c r="C429" s="13" t="n">
        <v>0.000263</v>
      </c>
      <c r="D429" s="13" t="n">
        <v>-0.000526</v>
      </c>
      <c r="E429" s="13" t="n">
        <v>-0.000744</v>
      </c>
      <c r="F429" s="13" t="n">
        <v>0.001399</v>
      </c>
      <c r="G429" s="13">
        <f>SUM(B429:F429)</f>
        <v/>
      </c>
    </row>
    <row r="430">
      <c r="A430" s="5" t="inlineStr">
        <is>
          <t>2025-08</t>
        </is>
      </c>
      <c r="B430" s="14" t="n">
        <v>0.003527</v>
      </c>
      <c r="C430" s="14" t="n">
        <v>0.000221</v>
      </c>
      <c r="D430" s="14" t="n">
        <v>-0.000378</v>
      </c>
      <c r="E430" s="14" t="n">
        <v>-0.000481</v>
      </c>
      <c r="F430" s="14" t="n">
        <v>0.001465</v>
      </c>
      <c r="G430" s="14">
        <f>SUM(B430:F430)</f>
        <v/>
      </c>
    </row>
    <row r="431">
      <c r="A431" s="8" t="inlineStr">
        <is>
          <t>2025-09</t>
        </is>
      </c>
      <c r="B431" s="13" t="n">
        <v>0.004887</v>
      </c>
      <c r="C431" s="13" t="n">
        <v>0.000235</v>
      </c>
      <c r="D431" s="13" t="n">
        <v>-0.000372</v>
      </c>
      <c r="E431" s="13" t="n">
        <v>-0.000336</v>
      </c>
      <c r="F431" s="13" t="n">
        <v>0.001511</v>
      </c>
      <c r="G431" s="13">
        <f>SUM(B431:F431)</f>
        <v/>
      </c>
    </row>
    <row r="432">
      <c r="A432" s="5" t="inlineStr">
        <is>
          <t>2025-10</t>
        </is>
      </c>
      <c r="B432" s="14" t="n">
        <v>0.005109</v>
      </c>
      <c r="C432" s="14" t="n">
        <v>0.000242</v>
      </c>
      <c r="D432" s="14" t="n">
        <v>-0.000276</v>
      </c>
      <c r="E432" s="14" t="n">
        <v>-0.000207</v>
      </c>
      <c r="F432" s="14" t="n">
        <v>0.001564</v>
      </c>
      <c r="G432" s="14">
        <f>SUM(B432:F432)</f>
        <v/>
      </c>
    </row>
    <row r="433">
      <c r="A433" s="8" t="inlineStr">
        <is>
          <t>2025-11</t>
        </is>
      </c>
      <c r="B433" s="13" t="n">
        <v>0.005405</v>
      </c>
      <c r="C433" s="13" t="n">
        <v>0.000226</v>
      </c>
      <c r="D433" s="13" t="n">
        <v>-0.000122</v>
      </c>
      <c r="E433" s="13" t="n">
        <v>-4.3e-05</v>
      </c>
      <c r="F433" s="13" t="n">
        <v>0.00156</v>
      </c>
      <c r="G433" s="13">
        <f>SUM(B433:F433)</f>
        <v/>
      </c>
    </row>
    <row r="434">
      <c r="A434" s="5" t="inlineStr">
        <is>
          <t>2025-12</t>
        </is>
      </c>
      <c r="B434" s="14" t="n">
        <v>0.004337</v>
      </c>
      <c r="C434" s="14" t="n">
        <v>0.000188</v>
      </c>
      <c r="D434" s="14" t="n">
        <v>3.7e-05</v>
      </c>
      <c r="E434" s="14" t="n">
        <v>0.000124</v>
      </c>
      <c r="F434" s="14" t="n">
        <v>0.001806</v>
      </c>
      <c r="G434" s="14">
        <f>SUM(B434:F434)</f>
        <v/>
      </c>
    </row>
    <row r="435">
      <c r="A435" s="8" t="inlineStr">
        <is>
          <t>2026-01</t>
        </is>
      </c>
      <c r="B435" s="13" t="n">
        <v>-0.000474</v>
      </c>
      <c r="C435" s="13" t="n">
        <v>0.000485</v>
      </c>
      <c r="D435" s="13" t="n">
        <v>0.002906</v>
      </c>
      <c r="E435" s="13" t="n">
        <v>0.003838</v>
      </c>
      <c r="F435" s="13" t="n">
        <v>0.003732</v>
      </c>
      <c r="G435" s="13">
        <f>SUM(B435:F435)</f>
        <v/>
      </c>
    </row>
    <row r="436">
      <c r="A436" s="5" t="inlineStr">
        <is>
          <t>2026-02</t>
        </is>
      </c>
      <c r="B436" s="14" t="n">
        <v>-0.000602</v>
      </c>
      <c r="C436" s="14" t="n">
        <v>-0.000339</v>
      </c>
      <c r="D436" s="14" t="n">
        <v>0.000836</v>
      </c>
      <c r="E436" s="14" t="n">
        <v>0.001467</v>
      </c>
      <c r="F436" s="14" t="n">
        <v>0.000376</v>
      </c>
      <c r="G436" s="14">
        <f>SUM(B436:F436)</f>
        <v/>
      </c>
    </row>
    <row r="437">
      <c r="A437" s="8" t="inlineStr">
        <is>
          <t>2026-03</t>
        </is>
      </c>
      <c r="B437" s="13" t="n">
        <v>9.6e-05</v>
      </c>
      <c r="C437" s="13" t="n">
        <v>1.2e-05</v>
      </c>
      <c r="D437" s="13" t="n">
        <v>0.003525</v>
      </c>
      <c r="E437" s="13" t="n">
        <v>0.001889</v>
      </c>
      <c r="F437" s="13" t="n">
        <v>0.00151</v>
      </c>
      <c r="G437" s="13">
        <f>SUM(B437:F437)</f>
        <v/>
      </c>
    </row>
    <row r="438">
      <c r="A438" s="5" t="inlineStr">
        <is>
          <t>2026-04</t>
        </is>
      </c>
      <c r="B438" s="14" t="n">
        <v>0.000693</v>
      </c>
      <c r="C438" s="14" t="n">
        <v>6.2e-05</v>
      </c>
      <c r="D438" s="14" t="n">
        <v>0.004797</v>
      </c>
      <c r="E438" s="14" t="n">
        <v>0.002716</v>
      </c>
      <c r="F438" s="14" t="n">
        <v>0.001438</v>
      </c>
      <c r="G438" s="14">
        <f>SUM(B438:F438)</f>
        <v/>
      </c>
    </row>
    <row r="439">
      <c r="A439" s="8" t="inlineStr">
        <is>
          <t>2026-05</t>
        </is>
      </c>
      <c r="B439" s="13" t="n">
        <v>-0.001212</v>
      </c>
      <c r="C439" s="13" t="n">
        <v>5.3e-05</v>
      </c>
      <c r="D439" s="13" t="n">
        <v>0.004675</v>
      </c>
      <c r="E439" s="13" t="n">
        <v>0.002447</v>
      </c>
      <c r="F439" s="13" t="n">
        <v>0.001336</v>
      </c>
      <c r="G439" s="13">
        <f>SUM(B439:F439)</f>
        <v/>
      </c>
    </row>
    <row r="440">
      <c r="A440" s="5" t="inlineStr">
        <is>
          <t>2026-06</t>
        </is>
      </c>
      <c r="B440" s="14" t="n">
        <v>-0.002636</v>
      </c>
      <c r="C440" s="14" t="n">
        <v>-0.000114</v>
      </c>
      <c r="D440" s="14" t="n">
        <v>0.00416</v>
      </c>
      <c r="E440" s="14" t="n">
        <v>0.002249</v>
      </c>
      <c r="F440" s="14" t="n">
        <v>0.001372</v>
      </c>
      <c r="G440" s="14">
        <f>SUM(B440:F440)</f>
        <v/>
      </c>
    </row>
    <row r="441">
      <c r="A441" s="8" t="inlineStr">
        <is>
          <t>2026-07</t>
        </is>
      </c>
      <c r="B441" s="13" t="n">
        <v>-0.002662</v>
      </c>
      <c r="C441" s="13" t="n">
        <v>-7.499999999999999e-05</v>
      </c>
      <c r="D441" s="13" t="n">
        <v>0.003988</v>
      </c>
      <c r="E441" s="13" t="n">
        <v>0.002023</v>
      </c>
      <c r="F441" s="13" t="n">
        <v>0.001455</v>
      </c>
      <c r="G441" s="13">
        <f>SUM(B441:F441)</f>
        <v/>
      </c>
    </row>
    <row r="463">
      <c r="A463" s="4" t="inlineStr">
        <is>
          <t>Хөнгөн үйлдвэр (Light manufacturing) — 2026-07</t>
        </is>
      </c>
    </row>
    <row r="464">
      <c r="A464" s="3" t="inlineStr">
        <is>
          <t>Үе (Period)</t>
        </is>
      </c>
      <c r="B464" s="3" t="inlineStr">
        <is>
          <t>Ундаа үйлдвэрлэл</t>
        </is>
      </c>
      <c r="C464" s="3" t="inlineStr">
        <is>
          <t>Тамхи үйлдвэрлэл</t>
        </is>
      </c>
      <c r="D464" s="3" t="inlineStr">
        <is>
          <t>Ээрэх, нэхэх, даавуун материал бэлтгэх үйлдвэрлэл</t>
        </is>
      </c>
      <c r="E464" s="3" t="inlineStr">
        <is>
          <t>Хувцас үйлдвэрлэл</t>
        </is>
      </c>
      <c r="F464" s="3" t="inlineStr">
        <is>
          <t>Арьс, арьсан бүтээгдэхүүн үйлдвэрлэл</t>
        </is>
      </c>
      <c r="G464" s="3" t="inlineStr">
        <is>
          <t>Тавилгаас бусад мод болон модон бүтээгдэхүүн үйлдвэрлэл; сүрэл, дэрсэн эдлэл үйлдвэрлэл</t>
        </is>
      </c>
      <c r="H464" s="3" t="inlineStr">
        <is>
          <t>Цаас болон цаасан бүтээгдэхүүн үйлдвэрлэл</t>
        </is>
      </c>
      <c r="I464" s="3" t="inlineStr">
        <is>
          <t>Хэвлэх, дуу бичлэгийг хувилах, дахин үйлдвэрлэх үйл ажиллагаа</t>
        </is>
      </c>
      <c r="J464" s="3" t="inlineStr">
        <is>
          <t>Бүлгийн дүн (Group subtotal)</t>
        </is>
      </c>
    </row>
    <row r="465">
      <c r="A465" s="5" t="inlineStr">
        <is>
          <t>2023-08</t>
        </is>
      </c>
      <c r="B465" s="14" t="n">
        <v>0.019924</v>
      </c>
      <c r="C465" s="14" t="n">
        <v>-0.000259</v>
      </c>
      <c r="D465" s="14" t="n">
        <v>0.003477</v>
      </c>
      <c r="E465" s="14" t="n">
        <v>0.001346</v>
      </c>
      <c r="F465" s="14" t="n">
        <v>0.000674</v>
      </c>
      <c r="G465" s="14" t="n">
        <v>-8.6e-05</v>
      </c>
      <c r="H465" s="14" t="n">
        <v>0.000688</v>
      </c>
      <c r="I465" s="14" t="n">
        <v>0.000419</v>
      </c>
      <c r="J465" s="14">
        <f>SUM(B465:I465)</f>
        <v/>
      </c>
    </row>
    <row r="466">
      <c r="A466" s="8" t="inlineStr">
        <is>
          <t>2023-09</t>
        </is>
      </c>
      <c r="B466" s="13" t="n">
        <v>0.017575</v>
      </c>
      <c r="C466" s="13" t="n">
        <v>-0.000255</v>
      </c>
      <c r="D466" s="13" t="n">
        <v>0.002445</v>
      </c>
      <c r="E466" s="13" t="n">
        <v>0.001331</v>
      </c>
      <c r="F466" s="13" t="n">
        <v>0.000618</v>
      </c>
      <c r="G466" s="13" t="n">
        <v>-0.000119</v>
      </c>
      <c r="H466" s="13" t="n">
        <v>0.000683</v>
      </c>
      <c r="I466" s="13" t="n">
        <v>0.000451</v>
      </c>
      <c r="J466" s="13">
        <f>SUM(B466:I466)</f>
        <v/>
      </c>
    </row>
    <row r="467">
      <c r="A467" s="5" t="inlineStr">
        <is>
          <t>2023-10</t>
        </is>
      </c>
      <c r="B467" s="14" t="n">
        <v>0.015734</v>
      </c>
      <c r="C467" s="14" t="n">
        <v>-0.000174</v>
      </c>
      <c r="D467" s="14" t="n">
        <v>0.001737</v>
      </c>
      <c r="E467" s="14" t="n">
        <v>0.001168</v>
      </c>
      <c r="F467" s="14" t="n">
        <v>0.000592</v>
      </c>
      <c r="G467" s="14" t="n">
        <v>-7.2e-05</v>
      </c>
      <c r="H467" s="14" t="n">
        <v>0.000565</v>
      </c>
      <c r="I467" s="14" t="n">
        <v>0.000356</v>
      </c>
      <c r="J467" s="14">
        <f>SUM(B467:I467)</f>
        <v/>
      </c>
    </row>
    <row r="468">
      <c r="A468" s="8" t="inlineStr">
        <is>
          <t>2023-11</t>
        </is>
      </c>
      <c r="B468" s="13" t="n">
        <v>0.014001</v>
      </c>
      <c r="C468" s="13" t="n">
        <v>-0.000126</v>
      </c>
      <c r="D468" s="13" t="n">
        <v>0.002104</v>
      </c>
      <c r="E468" s="13" t="n">
        <v>0.000842</v>
      </c>
      <c r="F468" s="13" t="n">
        <v>0.000561</v>
      </c>
      <c r="G468" s="13" t="n">
        <v>-4.3e-05</v>
      </c>
      <c r="H468" s="13" t="n">
        <v>0.000509</v>
      </c>
      <c r="I468" s="13" t="n">
        <v>0.000253</v>
      </c>
      <c r="J468" s="13">
        <f>SUM(B468:I468)</f>
        <v/>
      </c>
    </row>
    <row r="469">
      <c r="A469" s="5" t="inlineStr">
        <is>
          <t>2023-12</t>
        </is>
      </c>
      <c r="B469" s="14" t="n">
        <v>0.011081</v>
      </c>
      <c r="C469" s="14" t="n">
        <v>-2.2e-05</v>
      </c>
      <c r="D469" s="14" t="n">
        <v>0.000597</v>
      </c>
      <c r="E469" s="14" t="n">
        <v>0.000719</v>
      </c>
      <c r="F469" s="14" t="n">
        <v>0.000523</v>
      </c>
      <c r="G469" s="14" t="n">
        <v>-2e-06</v>
      </c>
      <c r="H469" s="14" t="n">
        <v>0.000466</v>
      </c>
      <c r="I469" s="14" t="n">
        <v>0.000162</v>
      </c>
      <c r="J469" s="14">
        <f>SUM(B469:I469)</f>
        <v/>
      </c>
    </row>
    <row r="470">
      <c r="A470" s="8" t="inlineStr">
        <is>
          <t>2024-01</t>
        </is>
      </c>
      <c r="B470" s="13" t="n">
        <v>0.007443</v>
      </c>
      <c r="C470" s="13" t="n">
        <v>-0.000392</v>
      </c>
      <c r="D470" s="13" t="n">
        <v>0.007221</v>
      </c>
      <c r="E470" s="13" t="n">
        <v>-0.000266</v>
      </c>
      <c r="F470" s="13" t="n">
        <v>0.00115</v>
      </c>
      <c r="G470" s="13" t="n">
        <v>0.000523</v>
      </c>
      <c r="H470" s="13" t="n">
        <v>0.000451</v>
      </c>
      <c r="I470" s="13" t="n">
        <v>-0.000158</v>
      </c>
      <c r="J470" s="13">
        <f>SUM(B470:I470)</f>
        <v/>
      </c>
    </row>
    <row r="471">
      <c r="A471" s="5" t="inlineStr">
        <is>
          <t>2024-02</t>
        </is>
      </c>
      <c r="B471" s="14" t="n">
        <v>0.001927</v>
      </c>
      <c r="C471" s="14" t="n">
        <v>-0.000454</v>
      </c>
      <c r="D471" s="14" t="n">
        <v>0.002907</v>
      </c>
      <c r="E471" s="14" t="n">
        <v>-8.899999999999999e-05</v>
      </c>
      <c r="F471" s="14" t="n">
        <v>0.000586</v>
      </c>
      <c r="G471" s="14" t="n">
        <v>0.000349</v>
      </c>
      <c r="H471" s="14" t="n">
        <v>0.000329</v>
      </c>
      <c r="I471" s="14" t="n">
        <v>-0.00014</v>
      </c>
      <c r="J471" s="14">
        <f>SUM(B471:I471)</f>
        <v/>
      </c>
    </row>
    <row r="472">
      <c r="A472" s="8" t="inlineStr">
        <is>
          <t>2024-03</t>
        </is>
      </c>
      <c r="B472" s="13" t="n">
        <v>-0.000356</v>
      </c>
      <c r="C472" s="13" t="n">
        <v>-0.00044</v>
      </c>
      <c r="D472" s="13" t="n">
        <v>0.001572</v>
      </c>
      <c r="E472" s="13" t="n">
        <v>-4.8e-05</v>
      </c>
      <c r="F472" s="13" t="n">
        <v>0.000587</v>
      </c>
      <c r="G472" s="13" t="n">
        <v>0.000244</v>
      </c>
      <c r="H472" s="13" t="n">
        <v>0.000141</v>
      </c>
      <c r="I472" s="13" t="n">
        <v>-0.000145</v>
      </c>
      <c r="J472" s="13">
        <f>SUM(B472:I472)</f>
        <v/>
      </c>
    </row>
    <row r="473">
      <c r="A473" s="5" t="inlineStr">
        <is>
          <t>2024-04</t>
        </is>
      </c>
      <c r="B473" s="14" t="n">
        <v>-8.500000000000001e-05</v>
      </c>
      <c r="C473" s="14" t="n">
        <v>-0.000384</v>
      </c>
      <c r="D473" s="14" t="n">
        <v>0.002281</v>
      </c>
      <c r="E473" s="14" t="n">
        <v>-0.000106</v>
      </c>
      <c r="F473" s="14" t="n">
        <v>0.00051</v>
      </c>
      <c r="G473" s="14" t="n">
        <v>0.000202</v>
      </c>
      <c r="H473" s="14" t="n">
        <v>0.000124</v>
      </c>
      <c r="I473" s="14" t="n">
        <v>-8.6e-05</v>
      </c>
      <c r="J473" s="14">
        <f>SUM(B473:I473)</f>
        <v/>
      </c>
    </row>
    <row r="474">
      <c r="A474" s="8" t="inlineStr">
        <is>
          <t>2024-05</t>
        </is>
      </c>
      <c r="B474" s="13" t="n">
        <v>0.00101</v>
      </c>
      <c r="C474" s="13" t="n">
        <v>-0.000362</v>
      </c>
      <c r="D474" s="13" t="n">
        <v>0.004762</v>
      </c>
      <c r="E474" s="13" t="n">
        <v>-0</v>
      </c>
      <c r="F474" s="13" t="n">
        <v>0.000492</v>
      </c>
      <c r="G474" s="13" t="n">
        <v>0.000118</v>
      </c>
      <c r="H474" s="13" t="n">
        <v>0.000148</v>
      </c>
      <c r="I474" s="13" t="n">
        <v>0.000102</v>
      </c>
      <c r="J474" s="13">
        <f>SUM(B474:I474)</f>
        <v/>
      </c>
    </row>
    <row r="475">
      <c r="A475" s="5" t="inlineStr">
        <is>
          <t>2024-06</t>
        </is>
      </c>
      <c r="B475" s="14" t="n">
        <v>-0.005661</v>
      </c>
      <c r="C475" s="14" t="n">
        <v>-0.000407</v>
      </c>
      <c r="D475" s="14" t="n">
        <v>0.005092</v>
      </c>
      <c r="E475" s="14" t="n">
        <v>4.6e-05</v>
      </c>
      <c r="F475" s="14" t="n">
        <v>0.000478</v>
      </c>
      <c r="G475" s="14" t="n">
        <v>9.2e-05</v>
      </c>
      <c r="H475" s="14" t="n">
        <v>0.000129</v>
      </c>
      <c r="I475" s="14" t="n">
        <v>0.000197</v>
      </c>
      <c r="J475" s="14">
        <f>SUM(B475:I475)</f>
        <v/>
      </c>
    </row>
    <row r="476">
      <c r="A476" s="8" t="inlineStr">
        <is>
          <t>2024-07</t>
        </is>
      </c>
      <c r="B476" s="13" t="n">
        <v>-0.004716</v>
      </c>
      <c r="C476" s="13" t="n">
        <v>-6.7e-05</v>
      </c>
      <c r="D476" s="13" t="n">
        <v>0.004958</v>
      </c>
      <c r="E476" s="13" t="n">
        <v>-4.1e-05</v>
      </c>
      <c r="F476" s="13" t="n">
        <v>0.000411</v>
      </c>
      <c r="G476" s="13" t="n">
        <v>8.500000000000001e-05</v>
      </c>
      <c r="H476" s="13" t="n">
        <v>0.00013</v>
      </c>
      <c r="I476" s="13" t="n">
        <v>9.399999999999999e-05</v>
      </c>
      <c r="J476" s="13">
        <f>SUM(B476:I476)</f>
        <v/>
      </c>
    </row>
    <row r="477">
      <c r="A477" s="5" t="inlineStr">
        <is>
          <t>2024-08</t>
        </is>
      </c>
      <c r="B477" s="14" t="n">
        <v>-0.003355</v>
      </c>
      <c r="C477" s="14" t="n">
        <v>-0.000164</v>
      </c>
      <c r="D477" s="14" t="n">
        <v>0.002876</v>
      </c>
      <c r="E477" s="14" t="n">
        <v>0.000407</v>
      </c>
      <c r="F477" s="14" t="n">
        <v>0.000339</v>
      </c>
      <c r="G477" s="14" t="n">
        <v>7.8e-05</v>
      </c>
      <c r="H477" s="14" t="n">
        <v>0.000114</v>
      </c>
      <c r="I477" s="14" t="n">
        <v>7.7e-05</v>
      </c>
      <c r="J477" s="14">
        <f>SUM(B477:I477)</f>
        <v/>
      </c>
    </row>
    <row r="478">
      <c r="A478" s="8" t="inlineStr">
        <is>
          <t>2024-09</t>
        </is>
      </c>
      <c r="B478" s="13" t="n">
        <v>-0.00337</v>
      </c>
      <c r="C478" s="13" t="n">
        <v>-1.3e-05</v>
      </c>
      <c r="D478" s="13" t="n">
        <v>0.002752</v>
      </c>
      <c r="E478" s="13" t="n">
        <v>0.000584</v>
      </c>
      <c r="F478" s="13" t="n">
        <v>0.000347</v>
      </c>
      <c r="G478" s="13" t="n">
        <v>9.1e-05</v>
      </c>
      <c r="H478" s="13" t="n">
        <v>9.500000000000001e-05</v>
      </c>
      <c r="I478" s="13" t="n">
        <v>5.6e-05</v>
      </c>
      <c r="J478" s="13">
        <f>SUM(B478:I478)</f>
        <v/>
      </c>
    </row>
    <row r="479">
      <c r="A479" s="5" t="inlineStr">
        <is>
          <t>2024-10</t>
        </is>
      </c>
      <c r="B479" s="14" t="n">
        <v>-0.001735</v>
      </c>
      <c r="C479" s="14" t="n">
        <v>-1.6e-05</v>
      </c>
      <c r="D479" s="14" t="n">
        <v>0.00145</v>
      </c>
      <c r="E479" s="14" t="n">
        <v>0.000528</v>
      </c>
      <c r="F479" s="14" t="n">
        <v>0.000347</v>
      </c>
      <c r="G479" s="14" t="n">
        <v>8.1e-05</v>
      </c>
      <c r="H479" s="14" t="n">
        <v>0.000114</v>
      </c>
      <c r="I479" s="14" t="n">
        <v>9.399999999999999e-05</v>
      </c>
      <c r="J479" s="14">
        <f>SUM(B479:I479)</f>
        <v/>
      </c>
    </row>
    <row r="480">
      <c r="A480" s="8" t="inlineStr">
        <is>
          <t>2024-11</t>
        </is>
      </c>
      <c r="B480" s="13" t="n">
        <v>-0.00026</v>
      </c>
      <c r="C480" s="13" t="n">
        <v>-0.000159</v>
      </c>
      <c r="D480" s="13" t="n">
        <v>0.000777</v>
      </c>
      <c r="E480" s="13" t="n">
        <v>0.000617</v>
      </c>
      <c r="F480" s="13" t="n">
        <v>0.000328</v>
      </c>
      <c r="G480" s="13" t="n">
        <v>7.499999999999999e-05</v>
      </c>
      <c r="H480" s="13" t="n">
        <v>0.000119</v>
      </c>
      <c r="I480" s="13" t="n">
        <v>8.4e-05</v>
      </c>
      <c r="J480" s="13">
        <f>SUM(B480:I480)</f>
        <v/>
      </c>
    </row>
    <row r="481">
      <c r="A481" s="5" t="inlineStr">
        <is>
          <t>2024-12</t>
        </is>
      </c>
      <c r="B481" s="14" t="n">
        <v>0.001739</v>
      </c>
      <c r="C481" s="14" t="n">
        <v>-0.000281</v>
      </c>
      <c r="D481" s="14" t="n">
        <v>0.00071</v>
      </c>
      <c r="E481" s="14" t="n">
        <v>0.000705</v>
      </c>
      <c r="F481" s="14" t="n">
        <v>0.00036</v>
      </c>
      <c r="G481" s="14" t="n">
        <v>6.3e-05</v>
      </c>
      <c r="H481" s="14" t="n">
        <v>0.000134</v>
      </c>
      <c r="I481" s="14" t="n">
        <v>8.6e-05</v>
      </c>
      <c r="J481" s="14">
        <f>SUM(B481:I481)</f>
        <v/>
      </c>
    </row>
    <row r="482">
      <c r="A482" s="8" t="inlineStr">
        <is>
          <t>2025-01</t>
        </is>
      </c>
      <c r="B482" s="13" t="n">
        <v>5.5e-05</v>
      </c>
      <c r="C482" s="13" t="n">
        <v>0.000266</v>
      </c>
      <c r="D482" s="13" t="n">
        <v>-0.005488</v>
      </c>
      <c r="E482" s="13" t="n">
        <v>0.000738</v>
      </c>
      <c r="F482" s="13" t="n">
        <v>-0.000775</v>
      </c>
      <c r="G482" s="13" t="n">
        <v>-0.000215</v>
      </c>
      <c r="H482" s="13" t="n">
        <v>-0.000111</v>
      </c>
      <c r="I482" s="13" t="n">
        <v>-0.000153</v>
      </c>
      <c r="J482" s="13">
        <f>SUM(B482:I482)</f>
        <v/>
      </c>
    </row>
    <row r="483">
      <c r="A483" s="5" t="inlineStr">
        <is>
          <t>2025-02</t>
        </is>
      </c>
      <c r="B483" s="14" t="n">
        <v>0.008784999999999999</v>
      </c>
      <c r="C483" s="14" t="n">
        <v>0.000564</v>
      </c>
      <c r="D483" s="14" t="n">
        <v>-0.001135</v>
      </c>
      <c r="E483" s="14" t="n">
        <v>0.000848</v>
      </c>
      <c r="F483" s="14" t="n">
        <v>-0.00043</v>
      </c>
      <c r="G483" s="14" t="n">
        <v>-0.000113</v>
      </c>
      <c r="H483" s="14" t="n">
        <v>0.000216</v>
      </c>
      <c r="I483" s="14" t="n">
        <v>-1.5e-05</v>
      </c>
      <c r="J483" s="14">
        <f>SUM(B483:I483)</f>
        <v/>
      </c>
    </row>
    <row r="484">
      <c r="A484" s="8" t="inlineStr">
        <is>
          <t>2025-03</t>
        </is>
      </c>
      <c r="B484" s="13" t="n">
        <v>0.010153</v>
      </c>
      <c r="C484" s="13" t="n">
        <v>0.000418</v>
      </c>
      <c r="D484" s="13" t="n">
        <v>-0.000883</v>
      </c>
      <c r="E484" s="13" t="n">
        <v>0.0006310000000000001</v>
      </c>
      <c r="F484" s="13" t="n">
        <v>-0.00037</v>
      </c>
      <c r="G484" s="13" t="n">
        <v>-6.600000000000001e-05</v>
      </c>
      <c r="H484" s="13" t="n">
        <v>4.9e-05</v>
      </c>
      <c r="I484" s="13" t="n">
        <v>-5e-05</v>
      </c>
      <c r="J484" s="13">
        <f>SUM(B484:I484)</f>
        <v/>
      </c>
    </row>
    <row r="485">
      <c r="A485" s="5" t="inlineStr">
        <is>
          <t>2025-04</t>
        </is>
      </c>
      <c r="B485" s="14" t="n">
        <v>0.010056</v>
      </c>
      <c r="C485" s="14" t="n">
        <v>0.00038</v>
      </c>
      <c r="D485" s="14" t="n">
        <v>-0.001856</v>
      </c>
      <c r="E485" s="14" t="n">
        <v>0.000614</v>
      </c>
      <c r="F485" s="14" t="n">
        <v>-0.000143</v>
      </c>
      <c r="G485" s="14" t="n">
        <v>-6e-06</v>
      </c>
      <c r="H485" s="14" t="n">
        <v>9.6e-05</v>
      </c>
      <c r="I485" s="14" t="n">
        <v>3e-06</v>
      </c>
      <c r="J485" s="14">
        <f>SUM(B485:I485)</f>
        <v/>
      </c>
    </row>
    <row r="486">
      <c r="A486" s="8" t="inlineStr">
        <is>
          <t>2025-05</t>
        </is>
      </c>
      <c r="B486" s="13" t="n">
        <v>0.009689</v>
      </c>
      <c r="C486" s="13" t="n">
        <v>0.000123</v>
      </c>
      <c r="D486" s="13" t="n">
        <v>-0.007529</v>
      </c>
      <c r="E486" s="13" t="n">
        <v>0.000348</v>
      </c>
      <c r="F486" s="13" t="n">
        <v>-0.000155</v>
      </c>
      <c r="G486" s="13" t="n">
        <v>1.6e-05</v>
      </c>
      <c r="H486" s="13" t="n">
        <v>7.2e-05</v>
      </c>
      <c r="I486" s="13" t="n">
        <v>-0.000206</v>
      </c>
      <c r="J486" s="13">
        <f>SUM(B486:I486)</f>
        <v/>
      </c>
    </row>
    <row r="487">
      <c r="A487" s="5" t="inlineStr">
        <is>
          <t>2025-06</t>
        </is>
      </c>
      <c r="B487" s="14" t="n">
        <v>0.010972</v>
      </c>
      <c r="C487" s="14" t="n">
        <v>2e-05</v>
      </c>
      <c r="D487" s="14" t="n">
        <v>-0.009076000000000001</v>
      </c>
      <c r="E487" s="14" t="n">
        <v>0.000241</v>
      </c>
      <c r="F487" s="14" t="n">
        <v>-0.000142</v>
      </c>
      <c r="G487" s="14" t="n">
        <v>6.3e-05</v>
      </c>
      <c r="H487" s="14" t="n">
        <v>0.000117</v>
      </c>
      <c r="I487" s="14" t="n">
        <v>-0.000285</v>
      </c>
      <c r="J487" s="14">
        <f>SUM(B487:I487)</f>
        <v/>
      </c>
    </row>
    <row r="488">
      <c r="A488" s="8" t="inlineStr">
        <is>
          <t>2025-07</t>
        </is>
      </c>
      <c r="B488" s="13" t="n">
        <v>0.011564</v>
      </c>
      <c r="C488" s="13" t="n">
        <v>-0.000293</v>
      </c>
      <c r="D488" s="13" t="n">
        <v>-0.010462</v>
      </c>
      <c r="E488" s="13" t="n">
        <v>0.000128</v>
      </c>
      <c r="F488" s="13" t="n">
        <v>-8.4e-05</v>
      </c>
      <c r="G488" s="13" t="n">
        <v>4.7e-05</v>
      </c>
      <c r="H488" s="13" t="n">
        <v>0.000119</v>
      </c>
      <c r="I488" s="13" t="n">
        <v>-0.000279</v>
      </c>
      <c r="J488" s="13">
        <f>SUM(B488:I488)</f>
        <v/>
      </c>
    </row>
    <row r="489">
      <c r="A489" s="5" t="inlineStr">
        <is>
          <t>2025-08</t>
        </is>
      </c>
      <c r="B489" s="14" t="n">
        <v>0.010276</v>
      </c>
      <c r="C489" s="14" t="n">
        <v>-0.000226</v>
      </c>
      <c r="D489" s="14" t="n">
        <v>-0.006639</v>
      </c>
      <c r="E489" s="14" t="n">
        <v>2.5e-05</v>
      </c>
      <c r="F489" s="14" t="n">
        <v>-5.7e-05</v>
      </c>
      <c r="G489" s="14" t="n">
        <v>5e-05</v>
      </c>
      <c r="H489" s="14" t="n">
        <v>0.000109</v>
      </c>
      <c r="I489" s="14" t="n">
        <v>-0.000358</v>
      </c>
      <c r="J489" s="14">
        <f>SUM(B489:I489)</f>
        <v/>
      </c>
    </row>
    <row r="490">
      <c r="A490" s="8" t="inlineStr">
        <is>
          <t>2025-09</t>
        </is>
      </c>
      <c r="B490" s="13" t="n">
        <v>0.01018</v>
      </c>
      <c r="C490" s="13" t="n">
        <v>-0.000395</v>
      </c>
      <c r="D490" s="13" t="n">
        <v>-0.001341</v>
      </c>
      <c r="E490" s="13" t="n">
        <v>5e-06</v>
      </c>
      <c r="F490" s="13" t="n">
        <v>-4e-06</v>
      </c>
      <c r="G490" s="13" t="n">
        <v>7.6e-05</v>
      </c>
      <c r="H490" s="13" t="n">
        <v>0.000183</v>
      </c>
      <c r="I490" s="13" t="n">
        <v>-0.00035</v>
      </c>
      <c r="J490" s="13">
        <f>SUM(B490:I490)</f>
        <v/>
      </c>
    </row>
    <row r="491">
      <c r="A491" s="5" t="inlineStr">
        <is>
          <t>2025-10</t>
        </is>
      </c>
      <c r="B491" s="14" t="n">
        <v>0.009775000000000001</v>
      </c>
      <c r="C491" s="14" t="n">
        <v>-0.000426</v>
      </c>
      <c r="D491" s="14" t="n">
        <v>0.002485</v>
      </c>
      <c r="E491" s="14" t="n">
        <v>5.5e-05</v>
      </c>
      <c r="F491" s="14" t="n">
        <v>4.1e-05</v>
      </c>
      <c r="G491" s="14" t="n">
        <v>8.2e-05</v>
      </c>
      <c r="H491" s="14" t="n">
        <v>0.000203</v>
      </c>
      <c r="I491" s="14" t="n">
        <v>-0.00036</v>
      </c>
      <c r="J491" s="14">
        <f>SUM(B491:I491)</f>
        <v/>
      </c>
    </row>
    <row r="492">
      <c r="A492" s="8" t="inlineStr">
        <is>
          <t>2025-11</t>
        </is>
      </c>
      <c r="B492" s="13" t="n">
        <v>0.008891</v>
      </c>
      <c r="C492" s="13" t="n">
        <v>-0.000403</v>
      </c>
      <c r="D492" s="13" t="n">
        <v>0.004171</v>
      </c>
      <c r="E492" s="13" t="n">
        <v>4e-05</v>
      </c>
      <c r="F492" s="13" t="n">
        <v>3.2e-05</v>
      </c>
      <c r="G492" s="13" t="n">
        <v>7.4e-05</v>
      </c>
      <c r="H492" s="13" t="n">
        <v>0.000202</v>
      </c>
      <c r="I492" s="13" t="n">
        <v>-0.000335</v>
      </c>
      <c r="J492" s="13">
        <f>SUM(B492:I492)</f>
        <v/>
      </c>
    </row>
    <row r="493">
      <c r="A493" s="5" t="inlineStr">
        <is>
          <t>2025-12</t>
        </is>
      </c>
      <c r="B493" s="14" t="n">
        <v>0.008123</v>
      </c>
      <c r="C493" s="14" t="n">
        <v>-0.000345</v>
      </c>
      <c r="D493" s="14" t="n">
        <v>0.006216</v>
      </c>
      <c r="E493" s="14" t="n">
        <v>0.000212</v>
      </c>
      <c r="F493" s="14" t="n">
        <v>-2.9e-05</v>
      </c>
      <c r="G493" s="14" t="n">
        <v>6.600000000000001e-05</v>
      </c>
      <c r="H493" s="14" t="n">
        <v>0.000215</v>
      </c>
      <c r="I493" s="14" t="n">
        <v>-0.000298</v>
      </c>
      <c r="J493" s="14">
        <f>SUM(B493:I493)</f>
        <v/>
      </c>
    </row>
    <row r="494">
      <c r="A494" s="8" t="inlineStr">
        <is>
          <t>2026-01</t>
        </is>
      </c>
      <c r="B494" s="13" t="n">
        <v>0.006215</v>
      </c>
      <c r="C494" s="13" t="n">
        <v>0.000733</v>
      </c>
      <c r="D494" s="13" t="n">
        <v>0.001233</v>
      </c>
      <c r="E494" s="13" t="n">
        <v>0.000804</v>
      </c>
      <c r="F494" s="13" t="n">
        <v>0.000602</v>
      </c>
      <c r="G494" s="13" t="n">
        <v>0.000151</v>
      </c>
      <c r="H494" s="13" t="n">
        <v>2.3e-05</v>
      </c>
      <c r="I494" s="13" t="n">
        <v>-0.000138</v>
      </c>
      <c r="J494" s="13">
        <f>SUM(B494:I494)</f>
        <v/>
      </c>
    </row>
    <row r="495">
      <c r="A495" s="5" t="inlineStr">
        <is>
          <t>2026-02</t>
        </is>
      </c>
      <c r="B495" s="14" t="n">
        <v>0.001636</v>
      </c>
      <c r="C495" s="14" t="n">
        <v>-2.9e-05</v>
      </c>
      <c r="D495" s="14" t="n">
        <v>-0.000917</v>
      </c>
      <c r="E495" s="14" t="n">
        <v>0.000333</v>
      </c>
      <c r="F495" s="14" t="n">
        <v>0.000295</v>
      </c>
      <c r="G495" s="14" t="n">
        <v>0.000114</v>
      </c>
      <c r="H495" s="14" t="n">
        <v>-0.000298</v>
      </c>
      <c r="I495" s="14" t="n">
        <v>-7.7e-05</v>
      </c>
      <c r="J495" s="14">
        <f>SUM(B495:I495)</f>
        <v/>
      </c>
    </row>
    <row r="496">
      <c r="A496" s="8" t="inlineStr">
        <is>
          <t>2026-03</t>
        </is>
      </c>
      <c r="B496" s="13" t="n">
        <v>0.000159</v>
      </c>
      <c r="C496" s="13" t="n">
        <v>-0.000208</v>
      </c>
      <c r="D496" s="13" t="n">
        <v>-0.0006980000000000001</v>
      </c>
      <c r="E496" s="13" t="n">
        <v>0.000879</v>
      </c>
      <c r="F496" s="13" t="n">
        <v>0.000243</v>
      </c>
      <c r="G496" s="13" t="n">
        <v>0.0001</v>
      </c>
      <c r="H496" s="13" t="n">
        <v>-0.00019</v>
      </c>
      <c r="I496" s="13" t="n">
        <v>9.8e-05</v>
      </c>
      <c r="J496" s="13">
        <f>SUM(B496:I496)</f>
        <v/>
      </c>
    </row>
    <row r="497">
      <c r="A497" s="5" t="inlineStr">
        <is>
          <t>2026-04</t>
        </is>
      </c>
      <c r="B497" s="14" t="n">
        <v>0.002952</v>
      </c>
      <c r="C497" s="14" t="n">
        <v>-0.000358</v>
      </c>
      <c r="D497" s="14" t="n">
        <v>8.3e-05</v>
      </c>
      <c r="E497" s="14" t="n">
        <v>0.000859</v>
      </c>
      <c r="F497" s="14" t="n">
        <v>0.000127</v>
      </c>
      <c r="G497" s="14" t="n">
        <v>0.000116</v>
      </c>
      <c r="H497" s="14" t="n">
        <v>-5.9e-05</v>
      </c>
      <c r="I497" s="14" t="n">
        <v>0.000116</v>
      </c>
      <c r="J497" s="14">
        <f>SUM(B497:I497)</f>
        <v/>
      </c>
    </row>
    <row r="498">
      <c r="A498" s="8" t="inlineStr">
        <is>
          <t>2026-05</t>
        </is>
      </c>
      <c r="B498" s="13" t="n">
        <v>0.003252</v>
      </c>
      <c r="C498" s="13" t="n">
        <v>-0.000337</v>
      </c>
      <c r="D498" s="13" t="n">
        <v>0.001175</v>
      </c>
      <c r="E498" s="13" t="n">
        <v>0.000852</v>
      </c>
      <c r="F498" s="13" t="n">
        <v>9.8e-05</v>
      </c>
      <c r="G498" s="13" t="n">
        <v>9.500000000000001e-05</v>
      </c>
      <c r="H498" s="13" t="n">
        <v>-2.1e-05</v>
      </c>
      <c r="I498" s="13" t="n">
        <v>0.000194</v>
      </c>
      <c r="J498" s="13">
        <f>SUM(B498:I498)</f>
        <v/>
      </c>
    </row>
    <row r="499">
      <c r="A499" s="5" t="inlineStr">
        <is>
          <t>2026-06</t>
        </is>
      </c>
      <c r="B499" s="14" t="n">
        <v>0.002215</v>
      </c>
      <c r="C499" s="14" t="n">
        <v>-0.000324</v>
      </c>
      <c r="D499" s="14" t="n">
        <v>0.004101</v>
      </c>
      <c r="E499" s="14" t="n">
        <v>0.000725</v>
      </c>
      <c r="F499" s="14" t="n">
        <v>7.7e-05</v>
      </c>
      <c r="G499" s="14" t="n">
        <v>3.6e-05</v>
      </c>
      <c r="H499" s="14" t="n">
        <v>-8e-06</v>
      </c>
      <c r="I499" s="14" t="n">
        <v>0.000171</v>
      </c>
      <c r="J499" s="14">
        <f>SUM(B499:I499)</f>
        <v/>
      </c>
    </row>
    <row r="500">
      <c r="A500" s="8" t="inlineStr">
        <is>
          <t>2026-07</t>
        </is>
      </c>
      <c r="B500" s="13" t="n">
        <v>0.002275</v>
      </c>
      <c r="C500" s="13" t="n">
        <v>-0.000304</v>
      </c>
      <c r="D500" s="13" t="n">
        <v>0.006117</v>
      </c>
      <c r="E500" s="13" t="n">
        <v>0.00072</v>
      </c>
      <c r="F500" s="13" t="n">
        <v>0.000196</v>
      </c>
      <c r="G500" s="13" t="n">
        <v>1.3e-05</v>
      </c>
      <c r="H500" s="13" t="n">
        <v>1.7e-05</v>
      </c>
      <c r="I500" s="13" t="n">
        <v>0.000184</v>
      </c>
      <c r="J500" s="13">
        <f>SUM(B500:I500)</f>
        <v/>
      </c>
    </row>
    <row r="522">
      <c r="A522" s="4" t="inlineStr">
        <is>
          <t>Хими, металл (Chemicals and metals) — 2026-07</t>
        </is>
      </c>
    </row>
    <row r="523">
      <c r="A523" s="3" t="inlineStr">
        <is>
          <t>Үе (Period)</t>
        </is>
      </c>
      <c r="B523" s="3" t="inlineStr">
        <is>
          <t>Химийн бодис болон химийн бүтээгдэхүүн үйлдвэрлэл</t>
        </is>
      </c>
      <c r="C523" s="3" t="inlineStr">
        <is>
          <t>Үндсэн эмийн бүтээгдэхүүн болон эмийн бэлдмэлийн үйлдвэрлэл</t>
        </is>
      </c>
      <c r="D523" s="3" t="inlineStr">
        <is>
          <t>Резинэн болон хуванцар бүтээгдэхүүн үйлдвэрлэл</t>
        </is>
      </c>
      <c r="E523" s="3" t="inlineStr">
        <is>
          <t>Төмөрлөг бус эрдэс бодисоор хийсэн эдлэл үйлдвэрлэл</t>
        </is>
      </c>
      <c r="F523" s="3" t="inlineStr">
        <is>
          <t>Металл боловсруулах үйлдвэрлэл</t>
        </is>
      </c>
      <c r="G523" s="3" t="inlineStr">
        <is>
          <t>Машин, тоног төхөөрөмжөөс бусад металл бүтээгдэхүүн үйлдвэрлэл</t>
        </is>
      </c>
      <c r="H523" s="3" t="inlineStr">
        <is>
          <t>Тээврийн хэрэгслийн бусад тоног төхөөрөмж үйлдвэрлэл</t>
        </is>
      </c>
      <c r="I523" s="3" t="inlineStr">
        <is>
          <t>Тавилга үйлдвэрлэл</t>
        </is>
      </c>
      <c r="J523" s="3" t="inlineStr">
        <is>
          <t>Бусад боловсруулах үйлдвэрлэл</t>
        </is>
      </c>
      <c r="K523" s="3" t="inlineStr">
        <is>
          <t>Бүлгийн дүн (Group subtotal)</t>
        </is>
      </c>
    </row>
    <row r="524">
      <c r="A524" s="5" t="inlineStr">
        <is>
          <t>2023-08</t>
        </is>
      </c>
      <c r="B524" s="14" t="n">
        <v>0.004113</v>
      </c>
      <c r="C524" s="14" t="n">
        <v>-0.000436</v>
      </c>
      <c r="D524" s="14" t="n">
        <v>0.000137</v>
      </c>
      <c r="E524" s="14" t="n">
        <v>0.008466</v>
      </c>
      <c r="F524" s="14" t="n">
        <v>0.002966</v>
      </c>
      <c r="G524" s="14" t="n">
        <v>0.000953</v>
      </c>
      <c r="H524" s="14" t="n">
        <v>9.000000000000001e-05</v>
      </c>
      <c r="I524" s="14" t="n">
        <v>-0.000124</v>
      </c>
      <c r="J524" s="14" t="n">
        <v>0.00407</v>
      </c>
      <c r="K524" s="14">
        <f>SUM(B524:J524)</f>
        <v/>
      </c>
    </row>
    <row r="525">
      <c r="A525" s="8" t="inlineStr">
        <is>
          <t>2023-09</t>
        </is>
      </c>
      <c r="B525" s="13" t="n">
        <v>0.003994</v>
      </c>
      <c r="C525" s="13" t="n">
        <v>-0.000385</v>
      </c>
      <c r="D525" s="13" t="n">
        <v>0.00019</v>
      </c>
      <c r="E525" s="13" t="n">
        <v>0.009027</v>
      </c>
      <c r="F525" s="13" t="n">
        <v>0.002276</v>
      </c>
      <c r="G525" s="13" t="n">
        <v>0.000943</v>
      </c>
      <c r="H525" s="13" t="n">
        <v>7.1e-05</v>
      </c>
      <c r="I525" s="13" t="n">
        <v>-0.000105</v>
      </c>
      <c r="J525" s="13" t="n">
        <v>0.003299</v>
      </c>
      <c r="K525" s="13">
        <f>SUM(B525:J525)</f>
        <v/>
      </c>
    </row>
    <row r="526">
      <c r="A526" s="5" t="inlineStr">
        <is>
          <t>2023-10</t>
        </is>
      </c>
      <c r="B526" s="14" t="n">
        <v>0.003866</v>
      </c>
      <c r="C526" s="14" t="n">
        <v>-0.000407</v>
      </c>
      <c r="D526" s="14" t="n">
        <v>0.000545</v>
      </c>
      <c r="E526" s="14" t="n">
        <v>0.008658000000000001</v>
      </c>
      <c r="F526" s="14" t="n">
        <v>0.002003</v>
      </c>
      <c r="G526" s="14" t="n">
        <v>0.000887</v>
      </c>
      <c r="H526" s="14" t="n">
        <v>7.2e-05</v>
      </c>
      <c r="I526" s="14" t="n">
        <v>-8.500000000000001e-05</v>
      </c>
      <c r="J526" s="14" t="n">
        <v>0.002802</v>
      </c>
      <c r="K526" s="14">
        <f>SUM(B526:J526)</f>
        <v/>
      </c>
    </row>
    <row r="527">
      <c r="A527" s="8" t="inlineStr">
        <is>
          <t>2023-11</t>
        </is>
      </c>
      <c r="B527" s="13" t="n">
        <v>0.003912</v>
      </c>
      <c r="C527" s="13" t="n">
        <v>-0.000336</v>
      </c>
      <c r="D527" s="13" t="n">
        <v>0.000634</v>
      </c>
      <c r="E527" s="13" t="n">
        <v>0.00775</v>
      </c>
      <c r="F527" s="13" t="n">
        <v>0.001313</v>
      </c>
      <c r="G527" s="13" t="n">
        <v>0.000816</v>
      </c>
      <c r="H527" s="13" t="n">
        <v>6.9e-05</v>
      </c>
      <c r="I527" s="13" t="n">
        <v>-2.1e-05</v>
      </c>
      <c r="J527" s="13" t="n">
        <v>0.002659</v>
      </c>
      <c r="K527" s="13">
        <f>SUM(B527:J527)</f>
        <v/>
      </c>
    </row>
    <row r="528">
      <c r="A528" s="5" t="inlineStr">
        <is>
          <t>2023-12</t>
        </is>
      </c>
      <c r="B528" s="14" t="n">
        <v>0.003585</v>
      </c>
      <c r="C528" s="14" t="n">
        <v>-0.000226</v>
      </c>
      <c r="D528" s="14" t="n">
        <v>0.0007560000000000001</v>
      </c>
      <c r="E528" s="14" t="n">
        <v>0.006679</v>
      </c>
      <c r="F528" s="14" t="n">
        <v>0.000759</v>
      </c>
      <c r="G528" s="14" t="n">
        <v>0.000802</v>
      </c>
      <c r="H528" s="14" t="n">
        <v>6.7e-05</v>
      </c>
      <c r="I528" s="14" t="n">
        <v>0.000122</v>
      </c>
      <c r="J528" s="14" t="n">
        <v>0.004794</v>
      </c>
      <c r="K528" s="14">
        <f>SUM(B528:J528)</f>
        <v/>
      </c>
    </row>
    <row r="529">
      <c r="A529" s="8" t="inlineStr">
        <is>
          <t>2024-01</t>
        </is>
      </c>
      <c r="B529" s="13" t="n">
        <v>0.003159</v>
      </c>
      <c r="C529" s="13" t="n">
        <v>0.000245</v>
      </c>
      <c r="D529" s="13" t="n">
        <v>0.000613</v>
      </c>
      <c r="E529" s="13" t="n">
        <v>-0.000889</v>
      </c>
      <c r="F529" s="13" t="n">
        <v>0.000228</v>
      </c>
      <c r="G529" s="13" t="n">
        <v>-0.000576</v>
      </c>
      <c r="H529" s="13" t="n">
        <v>-2e-06</v>
      </c>
      <c r="I529" s="13" t="n">
        <v>0.000147</v>
      </c>
      <c r="J529" s="13" t="n">
        <v>-0.002054</v>
      </c>
      <c r="K529" s="13">
        <f>SUM(B529:J529)</f>
        <v/>
      </c>
    </row>
    <row r="530">
      <c r="A530" s="5" t="inlineStr">
        <is>
          <t>2024-02</t>
        </is>
      </c>
      <c r="B530" s="14" t="n">
        <v>0.00318</v>
      </c>
      <c r="C530" s="14" t="n">
        <v>0.000147</v>
      </c>
      <c r="D530" s="14" t="n">
        <v>1.7e-05</v>
      </c>
      <c r="E530" s="14" t="n">
        <v>-0.000233</v>
      </c>
      <c r="F530" s="14" t="n">
        <v>-0.00073</v>
      </c>
      <c r="G530" s="14" t="n">
        <v>-0.000505</v>
      </c>
      <c r="H530" s="14" t="n">
        <v>8e-06</v>
      </c>
      <c r="I530" s="14" t="n">
        <v>0.00017</v>
      </c>
      <c r="J530" s="14" t="n">
        <v>-0.001834</v>
      </c>
      <c r="K530" s="14">
        <f>SUM(B530:J530)</f>
        <v/>
      </c>
    </row>
    <row r="531">
      <c r="A531" s="8" t="inlineStr">
        <is>
          <t>2024-03</t>
        </is>
      </c>
      <c r="B531" s="13" t="n">
        <v>0.003068</v>
      </c>
      <c r="C531" s="13" t="n">
        <v>0.000225</v>
      </c>
      <c r="D531" s="13" t="n">
        <v>-0.000355</v>
      </c>
      <c r="E531" s="13" t="n">
        <v>0.000712</v>
      </c>
      <c r="F531" s="13" t="n">
        <v>-0.001286</v>
      </c>
      <c r="G531" s="13" t="n">
        <v>-0.000403</v>
      </c>
      <c r="H531" s="13" t="n">
        <v>2.8e-05</v>
      </c>
      <c r="I531" s="13" t="n">
        <v>0.000205</v>
      </c>
      <c r="J531" s="13" t="n">
        <v>-0.001528</v>
      </c>
      <c r="K531" s="13">
        <f>SUM(B531:J531)</f>
        <v/>
      </c>
    </row>
    <row r="532">
      <c r="A532" s="5" t="inlineStr">
        <is>
          <t>2024-04</t>
        </is>
      </c>
      <c r="B532" s="14" t="n">
        <v>0.003474</v>
      </c>
      <c r="C532" s="14" t="n">
        <v>0.00043</v>
      </c>
      <c r="D532" s="14" t="n">
        <v>-0.000191</v>
      </c>
      <c r="E532" s="14" t="n">
        <v>0.001834</v>
      </c>
      <c r="F532" s="14" t="n">
        <v>-0.000469</v>
      </c>
      <c r="G532" s="14" t="n">
        <v>-0.000312</v>
      </c>
      <c r="H532" s="14" t="n">
        <v>4e-05</v>
      </c>
      <c r="I532" s="14" t="n">
        <v>0.000197</v>
      </c>
      <c r="J532" s="14" t="n">
        <v>-0.000124</v>
      </c>
      <c r="K532" s="14">
        <f>SUM(B532:J532)</f>
        <v/>
      </c>
    </row>
    <row r="533">
      <c r="A533" s="8" t="inlineStr">
        <is>
          <t>2024-05</t>
        </is>
      </c>
      <c r="B533" s="13" t="n">
        <v>0.003631</v>
      </c>
      <c r="C533" s="13" t="n">
        <v>0.000343</v>
      </c>
      <c r="D533" s="13" t="n">
        <v>-9.8e-05</v>
      </c>
      <c r="E533" s="13" t="n">
        <v>0.002461</v>
      </c>
      <c r="F533" s="13" t="n">
        <v>8.8e-05</v>
      </c>
      <c r="G533" s="13" t="n">
        <v>-0.000182</v>
      </c>
      <c r="H533" s="13" t="n">
        <v>3.2e-05</v>
      </c>
      <c r="I533" s="13" t="n">
        <v>0.000162</v>
      </c>
      <c r="J533" s="13" t="n">
        <v>-0.000496</v>
      </c>
      <c r="K533" s="13">
        <f>SUM(B533:J533)</f>
        <v/>
      </c>
    </row>
    <row r="534">
      <c r="A534" s="5" t="inlineStr">
        <is>
          <t>2024-06</t>
        </is>
      </c>
      <c r="B534" s="14" t="n">
        <v>0.00369</v>
      </c>
      <c r="C534" s="14" t="n">
        <v>0.000212</v>
      </c>
      <c r="D534" s="14" t="n">
        <v>1.1e-05</v>
      </c>
      <c r="E534" s="14" t="n">
        <v>0.000333</v>
      </c>
      <c r="F534" s="14" t="n">
        <v>-0.000914</v>
      </c>
      <c r="G534" s="14" t="n">
        <v>-0.00016</v>
      </c>
      <c r="H534" s="14" t="n">
        <v>2.5e-05</v>
      </c>
      <c r="I534" s="14" t="n">
        <v>9.899999999999999e-05</v>
      </c>
      <c r="J534" s="14" t="n">
        <v>-0.000692</v>
      </c>
      <c r="K534" s="14">
        <f>SUM(B534:J534)</f>
        <v/>
      </c>
    </row>
    <row r="535">
      <c r="A535" s="8" t="inlineStr">
        <is>
          <t>2024-07</t>
        </is>
      </c>
      <c r="B535" s="13" t="n">
        <v>0.003421</v>
      </c>
      <c r="C535" s="13" t="n">
        <v>7.6e-05</v>
      </c>
      <c r="D535" s="13" t="n">
        <v>0.000118</v>
      </c>
      <c r="E535" s="13" t="n">
        <v>0.000385</v>
      </c>
      <c r="F535" s="13" t="n">
        <v>-0.001203</v>
      </c>
      <c r="G535" s="13" t="n">
        <v>-0.00015</v>
      </c>
      <c r="H535" s="13" t="n">
        <v>2.9e-05</v>
      </c>
      <c r="I535" s="13" t="n">
        <v>4.5e-05</v>
      </c>
      <c r="J535" s="13" t="n">
        <v>-0.000531</v>
      </c>
      <c r="K535" s="13">
        <f>SUM(B535:J535)</f>
        <v/>
      </c>
    </row>
    <row r="536">
      <c r="A536" s="5" t="inlineStr">
        <is>
          <t>2024-08</t>
        </is>
      </c>
      <c r="B536" s="14" t="n">
        <v>0.003178</v>
      </c>
      <c r="C536" s="14" t="n">
        <v>0.000137</v>
      </c>
      <c r="D536" s="14" t="n">
        <v>8.7e-05</v>
      </c>
      <c r="E536" s="14" t="n">
        <v>0.000335</v>
      </c>
      <c r="F536" s="14" t="n">
        <v>-0.00202</v>
      </c>
      <c r="G536" s="14" t="n">
        <v>-6e-06</v>
      </c>
      <c r="H536" s="14" t="n">
        <v>2e-05</v>
      </c>
      <c r="I536" s="14" t="n">
        <v>4.8e-05</v>
      </c>
      <c r="J536" s="14" t="n">
        <v>-0.000678</v>
      </c>
      <c r="K536" s="14">
        <f>SUM(B536:J536)</f>
        <v/>
      </c>
    </row>
    <row r="537">
      <c r="A537" s="8" t="inlineStr">
        <is>
          <t>2024-09</t>
        </is>
      </c>
      <c r="B537" s="13" t="n">
        <v>0.003554</v>
      </c>
      <c r="C537" s="13" t="n">
        <v>0.000177</v>
      </c>
      <c r="D537" s="13" t="n">
        <v>0.000189</v>
      </c>
      <c r="E537" s="13" t="n">
        <v>0.0005240000000000001</v>
      </c>
      <c r="F537" s="13" t="n">
        <v>-0.001776</v>
      </c>
      <c r="G537" s="13" t="n">
        <v>1.9e-05</v>
      </c>
      <c r="H537" s="13" t="n">
        <v>2.4e-05</v>
      </c>
      <c r="I537" s="13" t="n">
        <v>5.2e-05</v>
      </c>
      <c r="J537" s="13" t="n">
        <v>-0.000729</v>
      </c>
      <c r="K537" s="13">
        <f>SUM(B537:J537)</f>
        <v/>
      </c>
    </row>
    <row r="538">
      <c r="A538" s="5" t="inlineStr">
        <is>
          <t>2024-10</t>
        </is>
      </c>
      <c r="B538" s="14" t="n">
        <v>0.003556</v>
      </c>
      <c r="C538" s="14" t="n">
        <v>0.000227</v>
      </c>
      <c r="D538" s="14" t="n">
        <v>2.3e-05</v>
      </c>
      <c r="E538" s="14" t="n">
        <v>0.000372</v>
      </c>
      <c r="F538" s="14" t="n">
        <v>-0.001957</v>
      </c>
      <c r="G538" s="14" t="n">
        <v>3.9e-05</v>
      </c>
      <c r="H538" s="14" t="n">
        <v>1.8e-05</v>
      </c>
      <c r="I538" s="14" t="n">
        <v>6.499999999999999e-05</v>
      </c>
      <c r="J538" s="14" t="n">
        <v>-0.0005820000000000001</v>
      </c>
      <c r="K538" s="14">
        <f>SUM(B538:J538)</f>
        <v/>
      </c>
    </row>
    <row r="539">
      <c r="A539" s="8" t="inlineStr">
        <is>
          <t>2024-11</t>
        </is>
      </c>
      <c r="B539" s="13" t="n">
        <v>0.003502</v>
      </c>
      <c r="C539" s="13" t="n">
        <v>0.00024</v>
      </c>
      <c r="D539" s="13" t="n">
        <v>-5.3e-05</v>
      </c>
      <c r="E539" s="13" t="n">
        <v>0.000355</v>
      </c>
      <c r="F539" s="13" t="n">
        <v>-0.001724</v>
      </c>
      <c r="G539" s="13" t="n">
        <v>1.1e-05</v>
      </c>
      <c r="H539" s="13" t="n">
        <v>1.7e-05</v>
      </c>
      <c r="I539" s="13" t="n">
        <v>7.4e-05</v>
      </c>
      <c r="J539" s="13" t="n">
        <v>-0.000687</v>
      </c>
      <c r="K539" s="13">
        <f>SUM(B539:J539)</f>
        <v/>
      </c>
    </row>
    <row r="540">
      <c r="A540" s="5" t="inlineStr">
        <is>
          <t>2024-12</t>
        </is>
      </c>
      <c r="B540" s="14" t="n">
        <v>0.003056</v>
      </c>
      <c r="C540" s="14" t="n">
        <v>0.000219</v>
      </c>
      <c r="D540" s="14" t="n">
        <v>5.5e-05</v>
      </c>
      <c r="E540" s="14" t="n">
        <v>0.000471</v>
      </c>
      <c r="F540" s="14" t="n">
        <v>-0.001633</v>
      </c>
      <c r="G540" s="14" t="n">
        <v>1.4e-05</v>
      </c>
      <c r="H540" s="14" t="n">
        <v>1.2e-05</v>
      </c>
      <c r="I540" s="14" t="n">
        <v>2.5e-05</v>
      </c>
      <c r="J540" s="14" t="n">
        <v>-0.002452</v>
      </c>
      <c r="K540" s="14">
        <f>SUM(B540:J540)</f>
        <v/>
      </c>
    </row>
    <row r="541">
      <c r="A541" s="8" t="inlineStr">
        <is>
          <t>2025-01</t>
        </is>
      </c>
      <c r="B541" s="13" t="n">
        <v>-0.002674</v>
      </c>
      <c r="C541" s="13" t="n">
        <v>0.000135</v>
      </c>
      <c r="D541" s="13" t="n">
        <v>-0.000166</v>
      </c>
      <c r="E541" s="13" t="n">
        <v>0.001174</v>
      </c>
      <c r="F541" s="13" t="n">
        <v>0.00322</v>
      </c>
      <c r="G541" s="13" t="n">
        <v>0.000634</v>
      </c>
      <c r="H541" s="13" t="n">
        <v>3.5e-05</v>
      </c>
      <c r="I541" s="13" t="n">
        <v>0.000235</v>
      </c>
      <c r="J541" s="13" t="n">
        <v>0.001958</v>
      </c>
      <c r="K541" s="13">
        <f>SUM(B541:J541)</f>
        <v/>
      </c>
    </row>
    <row r="542">
      <c r="A542" s="5" t="inlineStr">
        <is>
          <t>2025-02</t>
        </is>
      </c>
      <c r="B542" s="14" t="n">
        <v>0.001818</v>
      </c>
      <c r="C542" s="14" t="n">
        <v>0.000111</v>
      </c>
      <c r="D542" s="14" t="n">
        <v>0.000242</v>
      </c>
      <c r="E542" s="14" t="n">
        <v>0.000709</v>
      </c>
      <c r="F542" s="14" t="n">
        <v>0.00275</v>
      </c>
      <c r="G542" s="14" t="n">
        <v>0.000373</v>
      </c>
      <c r="H542" s="14" t="n">
        <v>-3e-06</v>
      </c>
      <c r="I542" s="14" t="n">
        <v>0.000194</v>
      </c>
      <c r="J542" s="14" t="n">
        <v>0.003516</v>
      </c>
      <c r="K542" s="14">
        <f>SUM(B542:J542)</f>
        <v/>
      </c>
    </row>
    <row r="543">
      <c r="A543" s="8" t="inlineStr">
        <is>
          <t>2025-03</t>
        </is>
      </c>
      <c r="B543" s="13" t="n">
        <v>0.001772</v>
      </c>
      <c r="C543" s="13" t="n">
        <v>8.899999999999999e-05</v>
      </c>
      <c r="D543" s="13" t="n">
        <v>0.00031</v>
      </c>
      <c r="E543" s="13" t="n">
        <v>0.000144</v>
      </c>
      <c r="F543" s="13" t="n">
        <v>0</v>
      </c>
      <c r="G543" s="13" t="n">
        <v>0.000119</v>
      </c>
      <c r="H543" s="13" t="n">
        <v>-2e-06</v>
      </c>
      <c r="I543" s="13" t="n">
        <v>7.7e-05</v>
      </c>
      <c r="J543" s="13" t="n">
        <v>0.002154</v>
      </c>
      <c r="K543" s="13">
        <f>SUM(B543:J543)</f>
        <v/>
      </c>
    </row>
    <row r="544">
      <c r="A544" s="5" t="inlineStr">
        <is>
          <t>2025-04</t>
        </is>
      </c>
      <c r="B544" s="14" t="n">
        <v>0.00108</v>
      </c>
      <c r="C544" s="14" t="n">
        <v>9.000000000000001e-05</v>
      </c>
      <c r="D544" s="14" t="n">
        <v>0.00019</v>
      </c>
      <c r="E544" s="14" t="n">
        <v>0.000164</v>
      </c>
      <c r="F544" s="14" t="n">
        <v>-0.000106</v>
      </c>
      <c r="G544" s="14" t="n">
        <v>0.000109</v>
      </c>
      <c r="H544" s="14" t="n">
        <v>-7e-06</v>
      </c>
      <c r="I544" s="14" t="n">
        <v>4.8e-05</v>
      </c>
      <c r="J544" s="14" t="n">
        <v>0.001417</v>
      </c>
      <c r="K544" s="14">
        <f>SUM(B544:J544)</f>
        <v/>
      </c>
    </row>
    <row r="545">
      <c r="A545" s="8" t="inlineStr">
        <is>
          <t>2025-05</t>
        </is>
      </c>
      <c r="B545" s="13" t="n">
        <v>0.0008809999999999999</v>
      </c>
      <c r="C545" s="13" t="n">
        <v>0.000175</v>
      </c>
      <c r="D545" s="13" t="n">
        <v>0.000173</v>
      </c>
      <c r="E545" s="13" t="n">
        <v>0.000575</v>
      </c>
      <c r="F545" s="13" t="n">
        <v>-0.000343</v>
      </c>
      <c r="G545" s="13" t="n">
        <v>0.000121</v>
      </c>
      <c r="H545" s="13" t="n">
        <v>-3e-06</v>
      </c>
      <c r="I545" s="13" t="n">
        <v>4.8e-05</v>
      </c>
      <c r="J545" s="13" t="n">
        <v>0.002205</v>
      </c>
      <c r="K545" s="13">
        <f>SUM(B545:J545)</f>
        <v/>
      </c>
    </row>
    <row r="546">
      <c r="A546" s="5" t="inlineStr">
        <is>
          <t>2025-06</t>
        </is>
      </c>
      <c r="B546" s="14" t="n">
        <v>0.000761</v>
      </c>
      <c r="C546" s="14" t="n">
        <v>0.000236</v>
      </c>
      <c r="D546" s="14" t="n">
        <v>0.000211</v>
      </c>
      <c r="E546" s="14" t="n">
        <v>0.00124</v>
      </c>
      <c r="F546" s="14" t="n">
        <v>-0.000157</v>
      </c>
      <c r="G546" s="14" t="n">
        <v>0.000163</v>
      </c>
      <c r="H546" s="14" t="n">
        <v>-1.6e-05</v>
      </c>
      <c r="I546" s="14" t="n">
        <v>6.7e-05</v>
      </c>
      <c r="J546" s="14" t="n">
        <v>0.00206</v>
      </c>
      <c r="K546" s="14">
        <f>SUM(B546:J546)</f>
        <v/>
      </c>
    </row>
    <row r="547">
      <c r="A547" s="8" t="inlineStr">
        <is>
          <t>2025-07</t>
        </is>
      </c>
      <c r="B547" s="13" t="n">
        <v>0.000662</v>
      </c>
      <c r="C547" s="13" t="n">
        <v>0.000148</v>
      </c>
      <c r="D547" s="13" t="n">
        <v>0.000141</v>
      </c>
      <c r="E547" s="13" t="n">
        <v>0.001804</v>
      </c>
      <c r="F547" s="13" t="n">
        <v>0.00217</v>
      </c>
      <c r="G547" s="13" t="n">
        <v>0.000139</v>
      </c>
      <c r="H547" s="13" t="n">
        <v>-1.4e-05</v>
      </c>
      <c r="I547" s="13" t="n">
        <v>8.4e-05</v>
      </c>
      <c r="J547" s="13" t="n">
        <v>0.00174</v>
      </c>
      <c r="K547" s="13">
        <f>SUM(B547:J547)</f>
        <v/>
      </c>
    </row>
    <row r="548">
      <c r="A548" s="5" t="inlineStr">
        <is>
          <t>2025-08</t>
        </is>
      </c>
      <c r="B548" s="14" t="n">
        <v>0.00067</v>
      </c>
      <c r="C548" s="14" t="n">
        <v>0.000108</v>
      </c>
      <c r="D548" s="14" t="n">
        <v>0.000161</v>
      </c>
      <c r="E548" s="14" t="n">
        <v>0.002158</v>
      </c>
      <c r="F548" s="14" t="n">
        <v>0.002057</v>
      </c>
      <c r="G548" s="14" t="n">
        <v>7.4e-05</v>
      </c>
      <c r="H548" s="14" t="n">
        <v>-1.2e-05</v>
      </c>
      <c r="I548" s="14" t="n">
        <v>7.3e-05</v>
      </c>
      <c r="J548" s="14" t="n">
        <v>0.001622</v>
      </c>
      <c r="K548" s="14">
        <f>SUM(B548:J548)</f>
        <v/>
      </c>
    </row>
    <row r="549">
      <c r="A549" s="8" t="inlineStr">
        <is>
          <t>2025-09</t>
        </is>
      </c>
      <c r="B549" s="13" t="n">
        <v>0.000934</v>
      </c>
      <c r="C549" s="13" t="n">
        <v>0.000152</v>
      </c>
      <c r="D549" s="13" t="n">
        <v>7.9e-05</v>
      </c>
      <c r="E549" s="13" t="n">
        <v>0.002348</v>
      </c>
      <c r="F549" s="13" t="n">
        <v>0.001491</v>
      </c>
      <c r="G549" s="13" t="n">
        <v>7.499999999999999e-05</v>
      </c>
      <c r="H549" s="13" t="n">
        <v>-1.4e-05</v>
      </c>
      <c r="I549" s="13" t="n">
        <v>6.499999999999999e-05</v>
      </c>
      <c r="J549" s="13" t="n">
        <v>0.001867</v>
      </c>
      <c r="K549" s="13">
        <f>SUM(B549:J549)</f>
        <v/>
      </c>
    </row>
    <row r="550">
      <c r="A550" s="5" t="inlineStr">
        <is>
          <t>2025-10</t>
        </is>
      </c>
      <c r="B550" s="14" t="n">
        <v>0.000965</v>
      </c>
      <c r="C550" s="14" t="n">
        <v>0.000145</v>
      </c>
      <c r="D550" s="14" t="n">
        <v>-3.6e-05</v>
      </c>
      <c r="E550" s="14" t="n">
        <v>0.002029</v>
      </c>
      <c r="F550" s="14" t="n">
        <v>0.001355</v>
      </c>
      <c r="G550" s="14" t="n">
        <v>1.8e-05</v>
      </c>
      <c r="H550" s="14" t="n">
        <v>-1.3e-05</v>
      </c>
      <c r="I550" s="14" t="n">
        <v>4.8e-05</v>
      </c>
      <c r="J550" s="14" t="n">
        <v>0.001858</v>
      </c>
      <c r="K550" s="14">
        <f>SUM(B550:J550)</f>
        <v/>
      </c>
    </row>
    <row r="551">
      <c r="A551" s="8" t="inlineStr">
        <is>
          <t>2025-11</t>
        </is>
      </c>
      <c r="B551" s="13" t="n">
        <v>0.000962</v>
      </c>
      <c r="C551" s="13" t="n">
        <v>0.000125</v>
      </c>
      <c r="D551" s="13" t="n">
        <v>-0.000175</v>
      </c>
      <c r="E551" s="13" t="n">
        <v>0.002202</v>
      </c>
      <c r="F551" s="13" t="n">
        <v>0.001617</v>
      </c>
      <c r="G551" s="13" t="n">
        <v>1e-06</v>
      </c>
      <c r="H551" s="13" t="n">
        <v>-1.2e-05</v>
      </c>
      <c r="I551" s="13" t="n">
        <v>2.4e-05</v>
      </c>
      <c r="J551" s="13" t="n">
        <v>0.001758</v>
      </c>
      <c r="K551" s="13">
        <f>SUM(B551:J551)</f>
        <v/>
      </c>
    </row>
    <row r="552">
      <c r="A552" s="5" t="inlineStr">
        <is>
          <t>2025-12</t>
        </is>
      </c>
      <c r="B552" s="14" t="n">
        <v>0.001335</v>
      </c>
      <c r="C552" s="14" t="n">
        <v>0.000193</v>
      </c>
      <c r="D552" s="14" t="n">
        <v>-0.000139</v>
      </c>
      <c r="E552" s="14" t="n">
        <v>0.00202</v>
      </c>
      <c r="F552" s="14" t="n">
        <v>0.001509</v>
      </c>
      <c r="G552" s="14" t="n">
        <v>-5e-06</v>
      </c>
      <c r="H552" s="14" t="n">
        <v>-1e-05</v>
      </c>
      <c r="I552" s="14" t="n">
        <v>5e-06</v>
      </c>
      <c r="J552" s="14" t="n">
        <v>0.001963</v>
      </c>
      <c r="K552" s="14">
        <f>SUM(B552:J552)</f>
        <v/>
      </c>
    </row>
    <row r="553">
      <c r="A553" s="8" t="inlineStr">
        <is>
          <t>2026-01</t>
        </is>
      </c>
      <c r="B553" s="13" t="n">
        <v>0.008352</v>
      </c>
      <c r="C553" s="13" t="n">
        <v>0.001027</v>
      </c>
      <c r="D553" s="13" t="n">
        <v>-6.4e-05</v>
      </c>
      <c r="E553" s="13" t="n">
        <v>-0.000701</v>
      </c>
      <c r="F553" s="13" t="n">
        <v>-0.005995</v>
      </c>
      <c r="G553" s="13" t="n">
        <v>-0.000233</v>
      </c>
      <c r="H553" s="13" t="n">
        <v>-3.1e-05</v>
      </c>
      <c r="I553" s="13" t="n">
        <v>-0.000414</v>
      </c>
      <c r="J553" s="13" t="n">
        <v>0.000468</v>
      </c>
      <c r="K553" s="13">
        <f>SUM(B553:J553)</f>
        <v/>
      </c>
    </row>
    <row r="554">
      <c r="A554" s="5" t="inlineStr">
        <is>
          <t>2026-02</t>
        </is>
      </c>
      <c r="B554" s="14" t="n">
        <v>0.003966</v>
      </c>
      <c r="C554" s="14" t="n">
        <v>0.000421</v>
      </c>
      <c r="D554" s="14" t="n">
        <v>-0.000219</v>
      </c>
      <c r="E554" s="14" t="n">
        <v>-0.000335</v>
      </c>
      <c r="F554" s="14" t="n">
        <v>-0.006075</v>
      </c>
      <c r="G554" s="14" t="n">
        <v>-0.000227</v>
      </c>
      <c r="H554" s="14" t="n">
        <v>1.1e-05</v>
      </c>
      <c r="I554" s="14" t="n">
        <v>-0.000281</v>
      </c>
      <c r="J554" s="14" t="n">
        <v>-0.000262</v>
      </c>
      <c r="K554" s="14">
        <f>SUM(B554:J554)</f>
        <v/>
      </c>
    </row>
    <row r="555">
      <c r="A555" s="8" t="inlineStr">
        <is>
          <t>2026-03</t>
        </is>
      </c>
      <c r="B555" s="13" t="n">
        <v>0.004934</v>
      </c>
      <c r="C555" s="13" t="n">
        <v>0.000479</v>
      </c>
      <c r="D555" s="13" t="n">
        <v>-7.6e-05</v>
      </c>
      <c r="E555" s="13" t="n">
        <v>0.000915</v>
      </c>
      <c r="F555" s="13" t="n">
        <v>-0.004887</v>
      </c>
      <c r="G555" s="13" t="n">
        <v>-0.000115</v>
      </c>
      <c r="H555" s="13" t="n">
        <v>1.7e-05</v>
      </c>
      <c r="I555" s="13" t="n">
        <v>-0.000169</v>
      </c>
      <c r="J555" s="13" t="n">
        <v>0.001293</v>
      </c>
      <c r="K555" s="13">
        <f>SUM(B555:J555)</f>
        <v/>
      </c>
    </row>
    <row r="556">
      <c r="A556" s="5" t="inlineStr">
        <is>
          <t>2026-04</t>
        </is>
      </c>
      <c r="B556" s="14" t="n">
        <v>0.005632</v>
      </c>
      <c r="C556" s="14" t="n">
        <v>0.000636</v>
      </c>
      <c r="D556" s="14" t="n">
        <v>0.000124</v>
      </c>
      <c r="E556" s="14" t="n">
        <v>0.001742</v>
      </c>
      <c r="F556" s="14" t="n">
        <v>-0.003925</v>
      </c>
      <c r="G556" s="14" t="n">
        <v>-0.000217</v>
      </c>
      <c r="H556" s="14" t="n">
        <v>2.9e-05</v>
      </c>
      <c r="I556" s="14" t="n">
        <v>-0.000155</v>
      </c>
      <c r="J556" s="14" t="n">
        <v>0.001498</v>
      </c>
      <c r="K556" s="14">
        <f>SUM(B556:J556)</f>
        <v/>
      </c>
    </row>
    <row r="557">
      <c r="A557" s="8" t="inlineStr">
        <is>
          <t>2026-05</t>
        </is>
      </c>
      <c r="B557" s="13" t="n">
        <v>0.00513</v>
      </c>
      <c r="C557" s="13" t="n">
        <v>0.000525</v>
      </c>
      <c r="D557" s="13" t="n">
        <v>0.000289</v>
      </c>
      <c r="E557" s="13" t="n">
        <v>0.001768</v>
      </c>
      <c r="F557" s="13" t="n">
        <v>-0.002353</v>
      </c>
      <c r="G557" s="13" t="n">
        <v>-0.000304</v>
      </c>
      <c r="H557" s="13" t="n">
        <v>3.5e-05</v>
      </c>
      <c r="I557" s="13" t="n">
        <v>-0.00013</v>
      </c>
      <c r="J557" s="13" t="n">
        <v>0.0009829999999999999</v>
      </c>
      <c r="K557" s="13">
        <f>SUM(B557:J557)</f>
        <v/>
      </c>
    </row>
    <row r="558">
      <c r="A558" s="5" t="inlineStr">
        <is>
          <t>2026-06</t>
        </is>
      </c>
      <c r="B558" s="14" t="n">
        <v>0.003548</v>
      </c>
      <c r="C558" s="14" t="n">
        <v>0.000478</v>
      </c>
      <c r="D558" s="14" t="n">
        <v>0.000237</v>
      </c>
      <c r="E558" s="14" t="n">
        <v>0.002146</v>
      </c>
      <c r="F558" s="14" t="n">
        <v>-0.00071</v>
      </c>
      <c r="G558" s="14" t="n">
        <v>-0.000333</v>
      </c>
      <c r="H558" s="14" t="n">
        <v>4.1e-05</v>
      </c>
      <c r="I558" s="14" t="n">
        <v>-0.000113</v>
      </c>
      <c r="J558" s="14" t="n">
        <v>0.001404</v>
      </c>
      <c r="K558" s="14">
        <f>SUM(B558:J558)</f>
        <v/>
      </c>
    </row>
    <row r="559">
      <c r="A559" s="8" t="inlineStr">
        <is>
          <t>2026-07</t>
        </is>
      </c>
      <c r="B559" s="13" t="n">
        <v>0.004083</v>
      </c>
      <c r="C559" s="13" t="n">
        <v>0.000538</v>
      </c>
      <c r="D559" s="13" t="n">
        <v>0.000259</v>
      </c>
      <c r="E559" s="13" t="n">
        <v>0.001802</v>
      </c>
      <c r="F559" s="13" t="n">
        <v>-0.00244</v>
      </c>
      <c r="G559" s="13" t="n">
        <v>-0.0003</v>
      </c>
      <c r="H559" s="13" t="n">
        <v>3.4e-05</v>
      </c>
      <c r="I559" s="13" t="n">
        <v>-4.1e-05</v>
      </c>
      <c r="J559" s="13" t="n">
        <v>0.001534</v>
      </c>
      <c r="K559" s="13">
        <f>SUM(B559:J559)</f>
        <v/>
      </c>
    </row>
    <row r="603">
      <c r="A603" s="4" t="inlineStr">
        <is>
          <t>Тээврийн салбарын нийт орлого — 2026-Q2</t>
        </is>
      </c>
    </row>
    <row r="604">
      <c r="A604" s="3" t="inlineStr">
        <is>
          <t>Үе (Period)</t>
        </is>
      </c>
      <c r="B604" s="3" t="inlineStr">
        <is>
          <t>Авто тээвэр</t>
        </is>
      </c>
      <c r="C604" s="3" t="inlineStr">
        <is>
          <t>Төмөр зам</t>
        </is>
      </c>
      <c r="D604" s="3" t="inlineStr">
        <is>
          <t>Бусад (агуулах, шуудан, туслах үйл ажиллагаа)</t>
        </is>
      </c>
      <c r="E604" s="3" t="inlineStr">
        <is>
          <t>Агаар</t>
        </is>
      </c>
      <c r="F604" s="3" t="inlineStr">
        <is>
          <t>Усан зам</t>
        </is>
      </c>
      <c r="G604" s="3" t="inlineStr">
        <is>
          <t>Салбарын өсөлт (Growth)</t>
        </is>
      </c>
      <c r="H604" s="3" t="inlineStr">
        <is>
          <t>Нийлбэр (check)</t>
        </is>
      </c>
    </row>
    <row r="605">
      <c r="A605" s="5" t="inlineStr">
        <is>
          <t>2022-Q3</t>
        </is>
      </c>
      <c r="B605" s="14" t="n">
        <v>0.555991</v>
      </c>
      <c r="C605" s="14" t="n">
        <v>-0.027212</v>
      </c>
      <c r="D605" s="14" t="n">
        <v>0.154539</v>
      </c>
      <c r="E605" s="14" t="n">
        <v>0.112322</v>
      </c>
      <c r="F605" s="14" t="n">
        <v>8.500000000000001e-05</v>
      </c>
      <c r="G605" s="14" t="n">
        <v>0.795725</v>
      </c>
      <c r="H605" s="14">
        <f>ROUND(SUM(B605:F605)-G605,5)</f>
        <v/>
      </c>
    </row>
    <row r="606">
      <c r="A606" s="8" t="inlineStr">
        <is>
          <t>2022-Q4</t>
        </is>
      </c>
      <c r="B606" s="13" t="n">
        <v>0.579552</v>
      </c>
      <c r="C606" s="13" t="n">
        <v>-0.005762</v>
      </c>
      <c r="D606" s="13" t="n">
        <v>0.154125</v>
      </c>
      <c r="E606" s="13" t="n">
        <v>0.103945</v>
      </c>
      <c r="F606" s="13" t="n">
        <v>5.5e-05</v>
      </c>
      <c r="G606" s="13" t="n">
        <v>0.831916</v>
      </c>
      <c r="H606" s="13">
        <f>ROUND(SUM(B606:F606)-G606,5)</f>
        <v/>
      </c>
    </row>
    <row r="607">
      <c r="A607" s="5" t="inlineStr">
        <is>
          <t>2023-Q1</t>
        </is>
      </c>
      <c r="B607" s="14" t="n">
        <v>0.845006</v>
      </c>
      <c r="C607" s="14" t="n">
        <v>0.127851</v>
      </c>
      <c r="D607" s="14" t="n">
        <v>0.118752</v>
      </c>
      <c r="E607" s="14" t="n">
        <v>0.100671</v>
      </c>
      <c r="F607" s="14" t="n">
        <v>0</v>
      </c>
      <c r="G607" s="14" t="n">
        <v>1.19228</v>
      </c>
      <c r="H607" s="14">
        <f>ROUND(SUM(B607:F607)-G607,5)</f>
        <v/>
      </c>
    </row>
    <row r="608">
      <c r="A608" s="8" t="inlineStr">
        <is>
          <t>2023-Q2</t>
        </is>
      </c>
      <c r="B608" s="13" t="n">
        <v>0.45843</v>
      </c>
      <c r="C608" s="13" t="n">
        <v>0.101275</v>
      </c>
      <c r="D608" s="13" t="n">
        <v>0.08497300000000001</v>
      </c>
      <c r="E608" s="13" t="n">
        <v>0.074848</v>
      </c>
      <c r="F608" s="13" t="n">
        <v>7e-06</v>
      </c>
      <c r="G608" s="13" t="n">
        <v>0.7195319999999999</v>
      </c>
      <c r="H608" s="13">
        <f>ROUND(SUM(B608:F608)-G608,5)</f>
        <v/>
      </c>
    </row>
    <row r="609">
      <c r="A609" s="5" t="inlineStr">
        <is>
          <t>2023-Q3</t>
        </is>
      </c>
      <c r="B609" s="14" t="n">
        <v>0.376708</v>
      </c>
      <c r="C609" s="14" t="n">
        <v>0.095738</v>
      </c>
      <c r="D609" s="14" t="n">
        <v>0.06666900000000001</v>
      </c>
      <c r="E609" s="14" t="n">
        <v>0.077889</v>
      </c>
      <c r="F609" s="14" t="n">
        <v>0.000179</v>
      </c>
      <c r="G609" s="14" t="n">
        <v>0.617183</v>
      </c>
      <c r="H609" s="14">
        <f>ROUND(SUM(B609:F609)-G609,5)</f>
        <v/>
      </c>
    </row>
    <row r="610">
      <c r="A610" s="8" t="inlineStr">
        <is>
          <t>2023-Q4</t>
        </is>
      </c>
      <c r="B610" s="13" t="n">
        <v>0.33584</v>
      </c>
      <c r="C610" s="13" t="n">
        <v>0.08157</v>
      </c>
      <c r="D610" s="13" t="n">
        <v>0.055137</v>
      </c>
      <c r="E610" s="13" t="n">
        <v>0.058113</v>
      </c>
      <c r="F610" s="13" t="n">
        <v>0.000114</v>
      </c>
      <c r="G610" s="13" t="n">
        <v>0.5307730000000001</v>
      </c>
      <c r="H610" s="13">
        <f>ROUND(SUM(B610:F610)-G610,5)</f>
        <v/>
      </c>
    </row>
    <row r="611">
      <c r="A611" s="5" t="inlineStr">
        <is>
          <t>2024-Q1</t>
        </is>
      </c>
      <c r="B611" s="14" t="n">
        <v>0.046771</v>
      </c>
      <c r="C611" s="14" t="n">
        <v>0.036783</v>
      </c>
      <c r="D611" s="14" t="n">
        <v>0.025998</v>
      </c>
      <c r="E611" s="14" t="n">
        <v>0.013555</v>
      </c>
      <c r="F611" s="14" t="n">
        <v>0</v>
      </c>
      <c r="G611" s="14" t="n">
        <v>0.123107</v>
      </c>
      <c r="H611" s="14">
        <f>ROUND(SUM(B611:F611)-G611,5)</f>
        <v/>
      </c>
    </row>
    <row r="612">
      <c r="A612" s="8" t="inlineStr">
        <is>
          <t>2024-Q2</t>
        </is>
      </c>
      <c r="B612" s="13" t="n">
        <v>0.081411</v>
      </c>
      <c r="C612" s="13" t="n">
        <v>0.032988</v>
      </c>
      <c r="D612" s="13" t="n">
        <v>0.022606</v>
      </c>
      <c r="E612" s="13" t="n">
        <v>0.017206</v>
      </c>
      <c r="F612" s="13" t="n">
        <v>-4e-06</v>
      </c>
      <c r="G612" s="13" t="n">
        <v>0.154208</v>
      </c>
      <c r="H612" s="13">
        <f>ROUND(SUM(B612:F612)-G612,5)</f>
        <v/>
      </c>
    </row>
    <row r="613">
      <c r="A613" s="5" t="inlineStr">
        <is>
          <t>2024-Q3</t>
        </is>
      </c>
      <c r="B613" s="14" t="n">
        <v>0.059437</v>
      </c>
      <c r="C613" s="14" t="n">
        <v>0.026403</v>
      </c>
      <c r="D613" s="14" t="n">
        <v>0.029231</v>
      </c>
      <c r="E613" s="14" t="n">
        <v>0.018408</v>
      </c>
      <c r="F613" s="14" t="n">
        <v>7.9e-05</v>
      </c>
      <c r="G613" s="14" t="n">
        <v>0.133558</v>
      </c>
      <c r="H613" s="14">
        <f>ROUND(SUM(B613:F613)-G613,5)</f>
        <v/>
      </c>
    </row>
    <row r="614">
      <c r="A614" s="8" t="inlineStr">
        <is>
          <t>2024-Q4</t>
        </is>
      </c>
      <c r="B614" s="13" t="n">
        <v>-0.010526</v>
      </c>
      <c r="C614" s="13" t="n">
        <v>0.024266</v>
      </c>
      <c r="D614" s="13" t="n">
        <v>0.018585</v>
      </c>
      <c r="E614" s="13" t="n">
        <v>0.017167</v>
      </c>
      <c r="F614" s="13" t="n">
        <v>5.3e-05</v>
      </c>
      <c r="G614" s="13" t="n">
        <v>0.049545</v>
      </c>
      <c r="H614" s="13">
        <f>ROUND(SUM(B614:F614)-G614,5)</f>
        <v/>
      </c>
    </row>
    <row r="615">
      <c r="A615" s="5" t="inlineStr">
        <is>
          <t>2025-Q1</t>
        </is>
      </c>
      <c r="B615" s="14" t="n">
        <v>-0.193394</v>
      </c>
      <c r="C615" s="14" t="n">
        <v>0.0009909999999999999</v>
      </c>
      <c r="D615" s="14" t="n">
        <v>0.019395</v>
      </c>
      <c r="E615" s="14" t="n">
        <v>0.017998</v>
      </c>
      <c r="F615" s="14" t="n">
        <v>0</v>
      </c>
      <c r="G615" s="14" t="n">
        <v>-0.155011</v>
      </c>
      <c r="H615" s="14">
        <f>ROUND(SUM(B615:F615)-G615,5)</f>
        <v/>
      </c>
    </row>
    <row r="616">
      <c r="A616" s="8" t="inlineStr">
        <is>
          <t>2025-Q2</t>
        </is>
      </c>
      <c r="B616" s="13" t="n">
        <v>-0.159772</v>
      </c>
      <c r="C616" s="13" t="n">
        <v>0.004383</v>
      </c>
      <c r="D616" s="13" t="n">
        <v>0.017724</v>
      </c>
      <c r="E616" s="13" t="n">
        <v>0.010857</v>
      </c>
      <c r="F616" s="13" t="n">
        <v>0</v>
      </c>
      <c r="G616" s="13" t="n">
        <v>-0.126809</v>
      </c>
      <c r="H616" s="13">
        <f>ROUND(SUM(B616:F616)-G616,5)</f>
        <v/>
      </c>
    </row>
    <row r="617">
      <c r="A617" s="5" t="inlineStr">
        <is>
          <t>2025-Q3</t>
        </is>
      </c>
      <c r="B617" s="14" t="n">
        <v>-0.136576</v>
      </c>
      <c r="C617" s="14" t="n">
        <v>0.012052</v>
      </c>
      <c r="D617" s="14" t="n">
        <v>0.01487</v>
      </c>
      <c r="E617" s="14" t="n">
        <v>0.008638</v>
      </c>
      <c r="F617" s="14" t="n">
        <v>5.2e-05</v>
      </c>
      <c r="G617" s="14" t="n">
        <v>-0.100965</v>
      </c>
      <c r="H617" s="14">
        <f>ROUND(SUM(B617:F617)-G617,5)</f>
        <v/>
      </c>
    </row>
    <row r="618">
      <c r="A618" s="8" t="inlineStr">
        <is>
          <t>2025-Q4</t>
        </is>
      </c>
      <c r="B618" s="13" t="n">
        <v>-0.100893</v>
      </c>
      <c r="C618" s="13" t="n">
        <v>0.018595</v>
      </c>
      <c r="D618" s="13" t="n">
        <v>0.015028</v>
      </c>
      <c r="E618" s="13" t="n">
        <v>0.006604</v>
      </c>
      <c r="F618" s="13" t="n">
        <v>3.8e-05</v>
      </c>
      <c r="G618" s="13" t="n">
        <v>-0.060628</v>
      </c>
      <c r="H618" s="13">
        <f>ROUND(SUM(B618:F618)-G618,5)</f>
        <v/>
      </c>
    </row>
    <row r="619">
      <c r="A619" s="5" t="inlineStr">
        <is>
          <t>2026-Q1</t>
        </is>
      </c>
      <c r="B619" s="14" t="n">
        <v>0.127251</v>
      </c>
      <c r="C619" s="14" t="n">
        <v>0.073196</v>
      </c>
      <c r="D619" s="14" t="n">
        <v>0.0214</v>
      </c>
      <c r="E619" s="14" t="n">
        <v>0.013267</v>
      </c>
      <c r="F619" s="14" t="n">
        <v>0</v>
      </c>
      <c r="G619" s="14" t="n">
        <v>0.235114</v>
      </c>
      <c r="H619" s="14">
        <f>ROUND(SUM(B619:F619)-G619,5)</f>
        <v/>
      </c>
    </row>
    <row r="620">
      <c r="A620" s="8" t="inlineStr">
        <is>
          <t>2026-Q2</t>
        </is>
      </c>
      <c r="B620" s="13" t="n">
        <v>0.140253</v>
      </c>
      <c r="C620" s="13" t="n">
        <v>0.07432900000000001</v>
      </c>
      <c r="D620" s="13" t="n">
        <v>0.013354</v>
      </c>
      <c r="E620" s="13" t="n">
        <v>0.00606</v>
      </c>
      <c r="F620" s="13" t="n">
        <v>0</v>
      </c>
      <c r="G620" s="13" t="n">
        <v>0.233997</v>
      </c>
      <c r="H620" s="13">
        <f>ROUND(SUM(B620:F620)-G620,5)</f>
        <v/>
      </c>
    </row>
    <row r="621">
      <c r="A621" s="5" t="inlineStr">
        <is>
          <t>Шалгалт: сүүлийн багана бүх мөрөнд 0 байх ёстой (the check column must read 0 on every row — the bars stack up to the line)</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H180"/>
  <sheetViews>
    <sheetView workbookViewId="0">
      <pane ySplit="3" topLeftCell="A4" activePane="bottomLeft" state="frozen"/>
      <selection pane="bottomLeft" activeCell="A1" sqref="A1"/>
    </sheetView>
  </sheetViews>
  <sheetFormatPr baseColWidth="8" defaultRowHeight="15"/>
  <cols>
    <col width="14"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7 хоногийн үнийн мэдээ, Улаанбаатар (Weekly prices, Ulaanbaatar)</t>
        </is>
      </c>
    </row>
    <row r="2">
      <c r="A2" s="2" t="inlineStr">
        <is>
          <t>Deck slide 9. Source: NSO, Хүнсний гол нэрийн барааны 7 хоногийн үнийн мэдээ. Prices in tugrik. YTD compares the latest week with the first week of the reported year; YoY with the same week last year.</t>
        </is>
      </c>
    </row>
    <row r="4">
      <c r="A4" s="34" t="inlineStr">
        <is>
          <t>МЭДЭЭЛЛИЙН ОН САР / DATA AS OF:  2026-08-17 (7 хоног бүр / weekly)      [тайлант үе / reported month: 2026-07]   ← ТЭРГҮҮЛЭХ ҮЗҮҮЛЭЛТ: тайлант сараас хойшхи 7 хоногийг хассангүй. Тайлант сарын сүүлийн 7 хоног: 2026-07-27 (leading indicator — weeks after the reported month are kept; last week inside it was 2026-07-27)</t>
        </is>
      </c>
    </row>
    <row r="5">
      <c r="A5" s="5" t="inlineStr">
        <is>
          <t>Эх файл (source table): nso_weekly_prices.json   ·   capital city (DT_NSO_0600_001V4) -&gt; 2026-08-17 (285 weeks)   ·   by aimag (DT_NSO_0300_010V5) -&gt; 2026-08-17 (132 weeks)</t>
        </is>
      </c>
    </row>
    <row r="7">
      <c r="A7" s="4" t="inlineStr">
        <is>
          <t>Бүлгээр (by group — simple average of the members' changes)</t>
        </is>
      </c>
    </row>
    <row r="8">
      <c r="A8" s="3" t="inlineStr">
        <is>
          <t>Бүлэг (Group)</t>
        </is>
      </c>
      <c r="B8" s="3" t="inlineStr">
        <is>
          <t>Оны эхнээс (YTD)</t>
        </is>
      </c>
      <c r="C8" s="3" t="inlineStr">
        <is>
          <t>Жилийн өмнөхөөс (YoY)</t>
        </is>
      </c>
      <c r="D8" s="3" t="inlineStr">
        <is>
          <t>Бүрэлдэхүүн</t>
        </is>
      </c>
    </row>
    <row r="9">
      <c r="A9" s="5" t="inlineStr">
        <is>
          <t>Мах (meat)</t>
        </is>
      </c>
      <c r="B9" s="14" t="n">
        <v>0.4001</v>
      </c>
      <c r="C9" s="14" t="n">
        <v>0.5211</v>
      </c>
      <c r="D9" s="5" t="inlineStr">
        <is>
          <t>Хонины мах, ястай, кг, Үхрийн мах, ястай, кг, Үхрийн мах, цул, кг, Адууны мах, ястай, кг, Ямааны мах, ястай, кг</t>
        </is>
      </c>
    </row>
    <row r="10">
      <c r="A10" s="8" t="inlineStr">
        <is>
          <t>Шатахуун (fuel)</t>
        </is>
      </c>
      <c r="B10" s="13" t="n">
        <v>0.1393</v>
      </c>
      <c r="C10" s="13" t="n">
        <v>0.1951</v>
      </c>
      <c r="D10" s="8" t="inlineStr">
        <is>
          <t>Аи-80 автобензин, л, Аи-92 автобензин, л, Дизелийн түлш, л, Аи-92, Евро, автобензин, л</t>
        </is>
      </c>
    </row>
    <row r="11">
      <c r="A11" s="5" t="inlineStr">
        <is>
          <t>Гурил, талх (flour, bread)</t>
        </is>
      </c>
      <c r="B11" s="14" t="n">
        <v>0.0596</v>
      </c>
      <c r="C11" s="14" t="n">
        <v>0.1036</v>
      </c>
      <c r="D11" s="5" t="inlineStr">
        <is>
          <t>Гурил, дээд зэрэг, савласан, 1 кг, Гурил, I зэрэг, савласан, кг, Гурил, 2-р зэрэг, савласан, кг, Талх, 600 гр, Талх, зүссэн, 600 гр, Хар талх, 300 гр, Цагаан будаа, кг</t>
        </is>
      </c>
    </row>
    <row r="12">
      <c r="A12" s="8" t="inlineStr">
        <is>
          <t>Бусад хүнс (other food)</t>
        </is>
      </c>
      <c r="B12" s="13" t="n">
        <v>0.0446</v>
      </c>
      <c r="C12" s="13" t="n">
        <v>0.0536</v>
      </c>
      <c r="D12" s="8" t="inlineStr">
        <is>
          <t>Сүү, задгай, л, Сүү, ууттай, 0.5 л, Сүү, савтай, л, Тараг, савласан, 900 гр, Цөцгийн тос, 200 гр, Ургамлын тос, л, Элсэн чихэр, кг, Ногоон цай, савласан, 90 г, Өндөг, ш, Алим, кг, Төмс, кг, Лууван, кг, Байцаа, кг, Хүрэн манжин, кг</t>
        </is>
      </c>
    </row>
    <row r="14">
      <c r="A14" s="4" t="inlineStr">
        <is>
          <t>Бүтээгдэхүүнээр (by product)</t>
        </is>
      </c>
    </row>
    <row r="15">
      <c r="A15" s="3" t="inlineStr">
        <is>
          <t>Бүтээгдэхүүн (Product)</t>
        </is>
      </c>
      <c r="B15" s="3" t="inlineStr">
        <is>
          <t>Сүүлийн үнэ (Latest, 2026-08-17)</t>
        </is>
      </c>
      <c r="C15" s="3" t="inlineStr">
        <is>
          <t>Тайлант сарын эцэст (2026-07-27)</t>
        </is>
      </c>
      <c r="D15" s="3" t="inlineStr">
        <is>
          <t>Оны эхнээс (YTD)</t>
        </is>
      </c>
      <c r="E15" s="3" t="inlineStr">
        <is>
          <t>Жилийн өмнөхөөс (YoY)</t>
        </is>
      </c>
    </row>
    <row r="16">
      <c r="A16" s="5" t="inlineStr">
        <is>
          <t>Гурил, дээд зэрэг, савласан, 1 кг</t>
        </is>
      </c>
      <c r="B16" s="16" t="n">
        <v>3512</v>
      </c>
      <c r="C16" s="16" t="n">
        <v>3512</v>
      </c>
      <c r="D16" s="14" t="n">
        <v>0.0014</v>
      </c>
      <c r="E16" s="14" t="n">
        <v>0.07629999999999999</v>
      </c>
    </row>
    <row r="17">
      <c r="A17" s="8" t="inlineStr">
        <is>
          <t>Гурил, I зэрэг, савласан, кг</t>
        </is>
      </c>
      <c r="B17" s="15" t="n">
        <v>2521</v>
      </c>
      <c r="C17" s="15" t="n">
        <v>2521</v>
      </c>
      <c r="D17" s="13" t="n">
        <v>0.0052</v>
      </c>
      <c r="E17" s="13" t="n">
        <v>0.0539</v>
      </c>
    </row>
    <row r="18">
      <c r="A18" s="5" t="inlineStr">
        <is>
          <t>Гурил, 2-р зэрэг, савласан, кг</t>
        </is>
      </c>
      <c r="B18" s="16" t="n">
        <v>1467</v>
      </c>
      <c r="C18" s="16" t="n">
        <v>1467</v>
      </c>
      <c r="D18" s="14" t="n">
        <v>0.0471</v>
      </c>
      <c r="E18" s="14" t="n">
        <v>0.0989</v>
      </c>
    </row>
    <row r="19">
      <c r="A19" s="8" t="inlineStr">
        <is>
          <t>Талх, 600 гр</t>
        </is>
      </c>
      <c r="B19" s="15" t="n">
        <v>2926</v>
      </c>
      <c r="C19" s="15" t="n">
        <v>2926</v>
      </c>
      <c r="D19" s="13" t="n">
        <v>0.0809</v>
      </c>
      <c r="E19" s="13" t="n">
        <v>0.1376</v>
      </c>
    </row>
    <row r="20">
      <c r="A20" s="5" t="inlineStr">
        <is>
          <t>Талх, зүссэн, 600 гр</t>
        </is>
      </c>
      <c r="B20" s="16" t="n">
        <v>3926</v>
      </c>
      <c r="C20" s="16" t="n">
        <v>3899</v>
      </c>
      <c r="D20" s="14" t="n">
        <v>0.1868</v>
      </c>
      <c r="E20" s="14" t="n">
        <v>0.2032</v>
      </c>
    </row>
    <row r="21">
      <c r="A21" s="8" t="inlineStr">
        <is>
          <t>Хар талх, 300 гр</t>
        </is>
      </c>
      <c r="B21" s="15" t="n">
        <v>2779</v>
      </c>
      <c r="C21" s="15" t="n">
        <v>2769</v>
      </c>
      <c r="D21" s="13" t="n">
        <v>0.08890000000000001</v>
      </c>
      <c r="E21" s="13" t="n">
        <v>0.1129</v>
      </c>
    </row>
    <row r="22">
      <c r="A22" s="5" t="inlineStr">
        <is>
          <t>Цагаан будаа, кг</t>
        </is>
      </c>
      <c r="B22" s="16" t="n">
        <v>5000</v>
      </c>
      <c r="C22" s="16" t="n">
        <v>5000</v>
      </c>
      <c r="D22" s="14" t="n">
        <v>0.0068</v>
      </c>
      <c r="E22" s="14" t="n">
        <v>0.0421</v>
      </c>
    </row>
    <row r="23">
      <c r="A23" s="8" t="inlineStr">
        <is>
          <t>Хонины мах, ястай, кг</t>
        </is>
      </c>
      <c r="B23" s="15" t="n">
        <v>26152</v>
      </c>
      <c r="C23" s="15" t="n">
        <v>27417</v>
      </c>
      <c r="D23" s="13" t="n">
        <v>0.5079</v>
      </c>
      <c r="E23" s="13" t="n">
        <v>0.5429999999999999</v>
      </c>
    </row>
    <row r="24">
      <c r="A24" s="5" t="inlineStr">
        <is>
          <t>Үхрийн мах, ястай, кг</t>
        </is>
      </c>
      <c r="B24" s="16" t="n">
        <v>31680</v>
      </c>
      <c r="C24" s="16" t="n">
        <v>32470</v>
      </c>
      <c r="D24" s="14" t="n">
        <v>0.3965</v>
      </c>
      <c r="E24" s="14" t="n">
        <v>0.5038</v>
      </c>
    </row>
    <row r="25">
      <c r="A25" s="8" t="inlineStr">
        <is>
          <t>Үхрийн мах, цул, кг</t>
        </is>
      </c>
      <c r="B25" s="15" t="n">
        <v>36611</v>
      </c>
      <c r="C25" s="15" t="n">
        <v>37878</v>
      </c>
      <c r="D25" s="13" t="n">
        <v>0.397</v>
      </c>
      <c r="E25" s="13" t="n">
        <v>0.5043</v>
      </c>
    </row>
    <row r="26">
      <c r="A26" s="5" t="inlineStr">
        <is>
          <t>Адууны мах, ястай, кг</t>
        </is>
      </c>
      <c r="B26" s="16" t="n">
        <v>18440</v>
      </c>
      <c r="C26" s="16" t="n">
        <v>18327</v>
      </c>
      <c r="D26" s="14" t="n">
        <v>0.2473</v>
      </c>
      <c r="E26" s="14" t="n">
        <v>0.4041</v>
      </c>
    </row>
    <row r="27">
      <c r="A27" s="8" t="inlineStr">
        <is>
          <t>Ямааны мах, ястай, кг</t>
        </is>
      </c>
      <c r="B27" s="15" t="n">
        <v>20328</v>
      </c>
      <c r="C27" s="15" t="n">
        <v>20646</v>
      </c>
      <c r="D27" s="13" t="n">
        <v>0.452</v>
      </c>
      <c r="E27" s="13" t="n">
        <v>0.6504000000000001</v>
      </c>
    </row>
    <row r="28">
      <c r="A28" s="5" t="inlineStr">
        <is>
          <t>Сүү, задгай, л</t>
        </is>
      </c>
      <c r="B28" s="16" t="n">
        <v>3997</v>
      </c>
      <c r="C28" s="16" t="n">
        <v>4146</v>
      </c>
      <c r="D28" s="14" t="n">
        <v>-0.0119</v>
      </c>
      <c r="E28" s="14" t="n">
        <v>0.1459</v>
      </c>
    </row>
    <row r="29">
      <c r="A29" s="8" t="inlineStr">
        <is>
          <t>Сүү, ууттай, 0.5 л</t>
        </is>
      </c>
      <c r="B29" s="15" t="n">
        <v>2367</v>
      </c>
      <c r="C29" s="15" t="n">
        <v>2367</v>
      </c>
      <c r="D29" s="13" t="n">
        <v>0.0064</v>
      </c>
      <c r="E29" s="13" t="n">
        <v>0.0441</v>
      </c>
    </row>
    <row r="30">
      <c r="A30" s="5" t="inlineStr">
        <is>
          <t>Сүү, савтай, л</t>
        </is>
      </c>
      <c r="B30" s="16" t="n">
        <v>5059</v>
      </c>
      <c r="C30" s="16" t="n">
        <v>5059</v>
      </c>
      <c r="D30" s="14" t="n">
        <v>0.0124</v>
      </c>
      <c r="E30" s="14" t="n">
        <v>0.0613</v>
      </c>
    </row>
    <row r="31">
      <c r="A31" s="8" t="inlineStr">
        <is>
          <t>Тараг, савласан, 900 гр</t>
        </is>
      </c>
      <c r="B31" s="15" t="n">
        <v>5266</v>
      </c>
      <c r="C31" s="15" t="n">
        <v>5266</v>
      </c>
      <c r="D31" s="13" t="n">
        <v>0.1518</v>
      </c>
      <c r="E31" s="13" t="n">
        <v>0.2255</v>
      </c>
    </row>
    <row r="32">
      <c r="A32" s="5" t="inlineStr">
        <is>
          <t>Цөцгийн тос, 200 гр</t>
        </is>
      </c>
      <c r="B32" s="16" t="n">
        <v>10731</v>
      </c>
      <c r="C32" s="16" t="n">
        <v>10610</v>
      </c>
      <c r="D32" s="14" t="n">
        <v>0.0188</v>
      </c>
      <c r="E32" s="14" t="n">
        <v>0.1347</v>
      </c>
    </row>
    <row r="33">
      <c r="A33" s="8" t="inlineStr">
        <is>
          <t>Ургамлын тос, л</t>
        </is>
      </c>
      <c r="B33" s="15" t="n">
        <v>12270</v>
      </c>
      <c r="C33" s="15" t="n">
        <v>12188</v>
      </c>
      <c r="D33" s="13" t="n">
        <v>0.1548</v>
      </c>
      <c r="E33" s="13" t="n">
        <v>0.6256</v>
      </c>
    </row>
    <row r="34">
      <c r="A34" s="5" t="inlineStr">
        <is>
          <t>Элсэн чихэр, кг</t>
        </is>
      </c>
      <c r="B34" s="16" t="n">
        <v>5125</v>
      </c>
      <c r="C34" s="16" t="n">
        <v>5125</v>
      </c>
      <c r="D34" s="14" t="n">
        <v>0.0351</v>
      </c>
      <c r="E34" s="14" t="n">
        <v>0.0349</v>
      </c>
    </row>
    <row r="35">
      <c r="A35" s="8" t="inlineStr">
        <is>
          <t>Ногоон цай, савласан, 90 г</t>
        </is>
      </c>
      <c r="B35" s="15" t="n">
        <v>3989</v>
      </c>
      <c r="C35" s="15" t="n">
        <v>3989</v>
      </c>
      <c r="D35" s="13" t="n">
        <v>-0.0121</v>
      </c>
      <c r="E35" s="13" t="n">
        <v>-0.0126</v>
      </c>
    </row>
    <row r="36">
      <c r="A36" s="5" t="inlineStr">
        <is>
          <t>Өндөг, ш</t>
        </is>
      </c>
      <c r="B36" s="16" t="n">
        <v>618</v>
      </c>
      <c r="C36" s="16" t="n">
        <v>616</v>
      </c>
      <c r="D36" s="14" t="n">
        <v>0.006500000000000001</v>
      </c>
      <c r="E36" s="14" t="n">
        <v>0.0148</v>
      </c>
    </row>
    <row r="37">
      <c r="A37" s="8" t="inlineStr">
        <is>
          <t>Алим, кг</t>
        </is>
      </c>
      <c r="B37" s="15" t="n">
        <v>8219</v>
      </c>
      <c r="C37" s="15" t="n">
        <v>8219</v>
      </c>
      <c r="D37" s="13" t="n">
        <v>0.0359</v>
      </c>
      <c r="E37" s="13" t="n">
        <v>0.1163</v>
      </c>
    </row>
    <row r="38">
      <c r="A38" s="5" t="inlineStr">
        <is>
          <t>Төмс, кг</t>
        </is>
      </c>
      <c r="B38" s="16" t="n">
        <v>2577</v>
      </c>
      <c r="C38" s="16" t="n">
        <v>4299</v>
      </c>
      <c r="D38" s="14" t="n">
        <v>-0.08359999999999999</v>
      </c>
      <c r="E38" s="14" t="n">
        <v>-0.3076</v>
      </c>
    </row>
    <row r="39">
      <c r="A39" s="8" t="inlineStr">
        <is>
          <t>Лууван, кг</t>
        </is>
      </c>
      <c r="B39" s="15" t="n">
        <v>3818</v>
      </c>
      <c r="C39" s="15" t="n">
        <v>3872</v>
      </c>
      <c r="D39" s="13" t="n">
        <v>0.2731</v>
      </c>
      <c r="E39" s="13" t="n">
        <v>-0.0243</v>
      </c>
    </row>
    <row r="40">
      <c r="A40" s="5" t="inlineStr">
        <is>
          <t>Байцаа, кг</t>
        </is>
      </c>
      <c r="B40" s="16" t="n">
        <v>3405</v>
      </c>
      <c r="C40" s="16" t="n">
        <v>3841</v>
      </c>
      <c r="D40" s="14" t="n">
        <v>-0.08839999999999999</v>
      </c>
      <c r="E40" s="14" t="n">
        <v>-0.1638</v>
      </c>
    </row>
    <row r="41">
      <c r="A41" s="8" t="inlineStr">
        <is>
          <t>Хүрэн манжин, кг</t>
        </is>
      </c>
      <c r="B41" s="15" t="n">
        <v>4214</v>
      </c>
      <c r="C41" s="15" t="n">
        <v>4773</v>
      </c>
      <c r="D41" s="13" t="n">
        <v>0.1334</v>
      </c>
      <c r="E41" s="13" t="n">
        <v>-0.0522</v>
      </c>
    </row>
    <row r="42">
      <c r="A42" s="5" t="inlineStr">
        <is>
          <t>Сонгино, кг</t>
        </is>
      </c>
      <c r="B42" s="16" t="n">
        <v>4421</v>
      </c>
      <c r="C42" s="16" t="n">
        <v>4713</v>
      </c>
      <c r="D42" s="14" t="n">
        <v>0.0363</v>
      </c>
      <c r="E42" s="14" t="n">
        <v>-0.0393</v>
      </c>
    </row>
    <row r="43">
      <c r="A43" s="8" t="inlineStr">
        <is>
          <t>Аи-80 автобензин, л</t>
        </is>
      </c>
      <c r="B43" s="15" t="n">
        <v>2345</v>
      </c>
      <c r="C43" s="15" t="n">
        <v>2345</v>
      </c>
      <c r="D43" s="13" t="n">
        <v>0</v>
      </c>
      <c r="E43" s="13" t="n">
        <v>0</v>
      </c>
    </row>
    <row r="44">
      <c r="A44" s="5" t="inlineStr">
        <is>
          <t>Аи-92 автобензин, л</t>
        </is>
      </c>
      <c r="B44" s="16" t="n">
        <v>3040</v>
      </c>
      <c r="C44" s="16" t="n">
        <v>2840</v>
      </c>
      <c r="D44" s="14" t="n">
        <v>0.1737</v>
      </c>
      <c r="E44" s="14" t="n">
        <v>0.1737</v>
      </c>
    </row>
    <row r="45">
      <c r="A45" s="8" t="inlineStr">
        <is>
          <t>Дизелийн түлш, л</t>
        </is>
      </c>
      <c r="B45" s="15" t="n">
        <v>4185</v>
      </c>
      <c r="C45" s="15" t="n">
        <v>4185</v>
      </c>
      <c r="D45" s="13" t="n">
        <v>0.3328</v>
      </c>
      <c r="E45" s="13" t="n">
        <v>0.4115</v>
      </c>
    </row>
    <row r="46">
      <c r="A46" s="5" t="inlineStr">
        <is>
          <t>Аи-92, Евро, автобензин, л</t>
        </is>
      </c>
      <c r="B46" s="16" t="n">
        <v>3121</v>
      </c>
      <c r="C46" s="16" t="n">
        <v>3121</v>
      </c>
      <c r="D46" s="14" t="n">
        <v>0.0508</v>
      </c>
      <c r="E46" s="14" t="n"/>
    </row>
    <row r="49">
      <c r="A49" s="4" t="inlineStr">
        <is>
          <t>Долоо хоногийн цуваа — махны болон шатахууны үнэ (weekly series, meat and fuel)</t>
        </is>
      </c>
    </row>
    <row r="50">
      <c r="A50" s="3" t="inlineStr">
        <is>
          <t>7 хоног (Week)</t>
        </is>
      </c>
      <c r="B50" s="3" t="inlineStr">
        <is>
          <t>Хонины мах, ястай, кг</t>
        </is>
      </c>
      <c r="C50" s="3" t="inlineStr">
        <is>
          <t>Үхрийн мах, ястай, кг</t>
        </is>
      </c>
      <c r="D50" s="3" t="inlineStr">
        <is>
          <t>Үхрийн мах, цул, кг</t>
        </is>
      </c>
      <c r="E50" s="3" t="inlineStr">
        <is>
          <t>Аи-80 автобензин, л</t>
        </is>
      </c>
      <c r="F50" s="3" t="inlineStr">
        <is>
          <t>Аи-92 автобензин, л</t>
        </is>
      </c>
      <c r="G50" s="3" t="inlineStr">
        <is>
          <t>Дизелийн түлш, л</t>
        </is>
      </c>
      <c r="H50" s="3" t="inlineStr">
        <is>
          <t>Аи-92, Евро, автобензин, л</t>
        </is>
      </c>
    </row>
    <row r="51">
      <c r="A51" s="5" t="inlineStr">
        <is>
          <t>2024-01-15</t>
        </is>
      </c>
      <c r="B51" s="16" t="n">
        <v>12845</v>
      </c>
      <c r="C51" s="16" t="n">
        <v>16309</v>
      </c>
      <c r="D51" s="16" t="n">
        <v>18660</v>
      </c>
      <c r="E51" s="16" t="n">
        <v>2345</v>
      </c>
      <c r="F51" s="16" t="n">
        <v>2390</v>
      </c>
      <c r="G51" s="16" t="n">
        <v>3890</v>
      </c>
      <c r="H51" s="16" t="n"/>
    </row>
    <row r="52">
      <c r="A52" s="8" t="inlineStr">
        <is>
          <t>2024-01-22</t>
        </is>
      </c>
      <c r="B52" s="15" t="n">
        <v>13180</v>
      </c>
      <c r="C52" s="15" t="n">
        <v>16465</v>
      </c>
      <c r="D52" s="15" t="n">
        <v>18679</v>
      </c>
      <c r="E52" s="15" t="n">
        <v>2345</v>
      </c>
      <c r="F52" s="15" t="n">
        <v>2390</v>
      </c>
      <c r="G52" s="15" t="n">
        <v>3890</v>
      </c>
      <c r="H52" s="15" t="n"/>
    </row>
    <row r="53">
      <c r="A53" s="5" t="inlineStr">
        <is>
          <t>2024-01-29</t>
        </is>
      </c>
      <c r="B53" s="16" t="n">
        <v>13259</v>
      </c>
      <c r="C53" s="16" t="n">
        <v>16768</v>
      </c>
      <c r="D53" s="16" t="n">
        <v>18836</v>
      </c>
      <c r="E53" s="16" t="n">
        <v>2345</v>
      </c>
      <c r="F53" s="16" t="n">
        <v>2390</v>
      </c>
      <c r="G53" s="16" t="n">
        <v>3890</v>
      </c>
      <c r="H53" s="16" t="n"/>
    </row>
    <row r="54">
      <c r="A54" s="8" t="inlineStr">
        <is>
          <t>2024-02-05</t>
        </is>
      </c>
      <c r="B54" s="15" t="n">
        <v>13788</v>
      </c>
      <c r="C54" s="15" t="n">
        <v>17091</v>
      </c>
      <c r="D54" s="15" t="n">
        <v>19225</v>
      </c>
      <c r="E54" s="15" t="n">
        <v>2345</v>
      </c>
      <c r="F54" s="15" t="n">
        <v>2390</v>
      </c>
      <c r="G54" s="15" t="n">
        <v>3890</v>
      </c>
      <c r="H54" s="15" t="n"/>
    </row>
    <row r="55">
      <c r="A55" s="5" t="inlineStr">
        <is>
          <t>2024-02-19</t>
        </is>
      </c>
      <c r="B55" s="16" t="n">
        <v>13688</v>
      </c>
      <c r="C55" s="16" t="n">
        <v>17105</v>
      </c>
      <c r="D55" s="16" t="n">
        <v>19224</v>
      </c>
      <c r="E55" s="16" t="n">
        <v>2345</v>
      </c>
      <c r="F55" s="16" t="n">
        <v>2390</v>
      </c>
      <c r="G55" s="16" t="n">
        <v>3590</v>
      </c>
      <c r="H55" s="16" t="n"/>
    </row>
    <row r="56">
      <c r="A56" s="8" t="inlineStr">
        <is>
          <t>2024-02-26</t>
        </is>
      </c>
      <c r="B56" s="15" t="n">
        <v>13852</v>
      </c>
      <c r="C56" s="15" t="n">
        <v>17254</v>
      </c>
      <c r="D56" s="15" t="n">
        <v>19170</v>
      </c>
      <c r="E56" s="15" t="n">
        <v>2345</v>
      </c>
      <c r="F56" s="15" t="n">
        <v>2390</v>
      </c>
      <c r="G56" s="15" t="n">
        <v>3590</v>
      </c>
      <c r="H56" s="15" t="n"/>
    </row>
    <row r="57">
      <c r="A57" s="5" t="inlineStr">
        <is>
          <t>2024-03-04</t>
        </is>
      </c>
      <c r="B57" s="16" t="n">
        <v>13966</v>
      </c>
      <c r="C57" s="16" t="n">
        <v>17445</v>
      </c>
      <c r="D57" s="16" t="n">
        <v>19528</v>
      </c>
      <c r="E57" s="16" t="n">
        <v>2345</v>
      </c>
      <c r="F57" s="16" t="n">
        <v>2390</v>
      </c>
      <c r="G57" s="16" t="n">
        <v>3590</v>
      </c>
      <c r="H57" s="16" t="n"/>
    </row>
    <row r="58">
      <c r="A58" s="8" t="inlineStr">
        <is>
          <t>2024-03-11</t>
        </is>
      </c>
      <c r="B58" s="15" t="n">
        <v>13933</v>
      </c>
      <c r="C58" s="15" t="n">
        <v>17655</v>
      </c>
      <c r="D58" s="15" t="n">
        <v>19642</v>
      </c>
      <c r="E58" s="15" t="n">
        <v>2345</v>
      </c>
      <c r="F58" s="15" t="n">
        <v>2390</v>
      </c>
      <c r="G58" s="15" t="n">
        <v>3590</v>
      </c>
      <c r="H58" s="15" t="n"/>
    </row>
    <row r="59">
      <c r="A59" s="5" t="inlineStr">
        <is>
          <t>2024-03-18</t>
        </is>
      </c>
      <c r="B59" s="16" t="n">
        <v>13902</v>
      </c>
      <c r="C59" s="16" t="n">
        <v>17565</v>
      </c>
      <c r="D59" s="16" t="n">
        <v>19743</v>
      </c>
      <c r="E59" s="16" t="n">
        <v>2345</v>
      </c>
      <c r="F59" s="16" t="n">
        <v>2390</v>
      </c>
      <c r="G59" s="16" t="n">
        <v>3590</v>
      </c>
      <c r="H59" s="16" t="n"/>
    </row>
    <row r="60">
      <c r="A60" s="8" t="inlineStr">
        <is>
          <t>2024-03-25</t>
        </is>
      </c>
      <c r="B60" s="15" t="n">
        <v>13867</v>
      </c>
      <c r="C60" s="15" t="n">
        <v>17831</v>
      </c>
      <c r="D60" s="15" t="n">
        <v>19780</v>
      </c>
      <c r="E60" s="15" t="n">
        <v>2345</v>
      </c>
      <c r="F60" s="15" t="n">
        <v>2390</v>
      </c>
      <c r="G60" s="15" t="n">
        <v>3590</v>
      </c>
      <c r="H60" s="15" t="n"/>
    </row>
    <row r="61">
      <c r="A61" s="5" t="inlineStr">
        <is>
          <t>2024-04-01</t>
        </is>
      </c>
      <c r="B61" s="16" t="n">
        <v>14257</v>
      </c>
      <c r="C61" s="16" t="n">
        <v>17897</v>
      </c>
      <c r="D61" s="16" t="n">
        <v>19753</v>
      </c>
      <c r="E61" s="16" t="n">
        <v>2345</v>
      </c>
      <c r="F61" s="16" t="n">
        <v>2390</v>
      </c>
      <c r="G61" s="16" t="n">
        <v>3590</v>
      </c>
      <c r="H61" s="16" t="n"/>
    </row>
    <row r="62">
      <c r="A62" s="8" t="inlineStr">
        <is>
          <t>2024-04-08</t>
        </is>
      </c>
      <c r="B62" s="15" t="n">
        <v>14385</v>
      </c>
      <c r="C62" s="15" t="n">
        <v>18036</v>
      </c>
      <c r="D62" s="15" t="n">
        <v>19881</v>
      </c>
      <c r="E62" s="15" t="n">
        <v>2345</v>
      </c>
      <c r="F62" s="15" t="n">
        <v>2390</v>
      </c>
      <c r="G62" s="15" t="n">
        <v>3590</v>
      </c>
      <c r="H62" s="15" t="n"/>
    </row>
    <row r="63">
      <c r="A63" s="5" t="inlineStr">
        <is>
          <t>2024-04-15</t>
        </is>
      </c>
      <c r="B63" s="16" t="n">
        <v>14563</v>
      </c>
      <c r="C63" s="16" t="n">
        <v>18122</v>
      </c>
      <c r="D63" s="16" t="n">
        <v>19997</v>
      </c>
      <c r="E63" s="16" t="n">
        <v>2345</v>
      </c>
      <c r="F63" s="16" t="n">
        <v>2390</v>
      </c>
      <c r="G63" s="16" t="n">
        <v>3590</v>
      </c>
      <c r="H63" s="16" t="n"/>
    </row>
    <row r="64">
      <c r="A64" s="8" t="inlineStr">
        <is>
          <t>2024-04-22</t>
        </is>
      </c>
      <c r="B64" s="15" t="n">
        <v>14628</v>
      </c>
      <c r="C64" s="15" t="n">
        <v>18123</v>
      </c>
      <c r="D64" s="15" t="n">
        <v>20174</v>
      </c>
      <c r="E64" s="15" t="n">
        <v>2345</v>
      </c>
      <c r="F64" s="15" t="n">
        <v>2390</v>
      </c>
      <c r="G64" s="15" t="n">
        <v>3590</v>
      </c>
      <c r="H64" s="15" t="n"/>
    </row>
    <row r="65">
      <c r="A65" s="5" t="inlineStr">
        <is>
          <t>2024-04-29</t>
        </is>
      </c>
      <c r="B65" s="16" t="n">
        <v>15328</v>
      </c>
      <c r="C65" s="16" t="n">
        <v>18865</v>
      </c>
      <c r="D65" s="16" t="n">
        <v>20277</v>
      </c>
      <c r="E65" s="16" t="n">
        <v>2345</v>
      </c>
      <c r="F65" s="16" t="n">
        <v>2390</v>
      </c>
      <c r="G65" s="16" t="n">
        <v>3590</v>
      </c>
      <c r="H65" s="16" t="n"/>
    </row>
    <row r="66">
      <c r="A66" s="8" t="inlineStr">
        <is>
          <t>2024-05-06</t>
        </is>
      </c>
      <c r="B66" s="15" t="n">
        <v>15474</v>
      </c>
      <c r="C66" s="15" t="n">
        <v>19081</v>
      </c>
      <c r="D66" s="15" t="n">
        <v>21230</v>
      </c>
      <c r="E66" s="15" t="n">
        <v>2345</v>
      </c>
      <c r="F66" s="15" t="n">
        <v>2390</v>
      </c>
      <c r="G66" s="15" t="n">
        <v>3590</v>
      </c>
      <c r="H66" s="15" t="n"/>
    </row>
    <row r="67">
      <c r="A67" s="5" t="inlineStr">
        <is>
          <t>2024-05-13</t>
        </is>
      </c>
      <c r="B67" s="16" t="n">
        <v>15802</v>
      </c>
      <c r="C67" s="16" t="n">
        <v>19599</v>
      </c>
      <c r="D67" s="16" t="n">
        <v>21446</v>
      </c>
      <c r="E67" s="16" t="n">
        <v>2345</v>
      </c>
      <c r="F67" s="16" t="n">
        <v>2390</v>
      </c>
      <c r="G67" s="16" t="n">
        <v>3590</v>
      </c>
      <c r="H67" s="16" t="n"/>
    </row>
    <row r="68">
      <c r="A68" s="8" t="inlineStr">
        <is>
          <t>2024-05-20</t>
        </is>
      </c>
      <c r="B68" s="15" t="n">
        <v>16409</v>
      </c>
      <c r="C68" s="15" t="n">
        <v>19730</v>
      </c>
      <c r="D68" s="15" t="n">
        <v>21488</v>
      </c>
      <c r="E68" s="15" t="n">
        <v>2345</v>
      </c>
      <c r="F68" s="15" t="n">
        <v>2390</v>
      </c>
      <c r="G68" s="15" t="n">
        <v>3390</v>
      </c>
      <c r="H68" s="15" t="n"/>
    </row>
    <row r="69">
      <c r="A69" s="5" t="inlineStr">
        <is>
          <t>2024-05-27</t>
        </is>
      </c>
      <c r="B69" s="16" t="n">
        <v>16556</v>
      </c>
      <c r="C69" s="16" t="n">
        <v>19723</v>
      </c>
      <c r="D69" s="16" t="n">
        <v>21469</v>
      </c>
      <c r="E69" s="16" t="n">
        <v>2345</v>
      </c>
      <c r="F69" s="16" t="n">
        <v>2390</v>
      </c>
      <c r="G69" s="16" t="n">
        <v>3390</v>
      </c>
      <c r="H69" s="16" t="n"/>
    </row>
    <row r="70">
      <c r="A70" s="8" t="inlineStr">
        <is>
          <t>2024-06-03</t>
        </is>
      </c>
      <c r="B70" s="15" t="n">
        <v>16838</v>
      </c>
      <c r="C70" s="15" t="n">
        <v>19625</v>
      </c>
      <c r="D70" s="15" t="n">
        <v>21626</v>
      </c>
      <c r="E70" s="15" t="n">
        <v>2345</v>
      </c>
      <c r="F70" s="15" t="n">
        <v>2390</v>
      </c>
      <c r="G70" s="15" t="n">
        <v>3390</v>
      </c>
      <c r="H70" s="15" t="n"/>
    </row>
    <row r="71">
      <c r="A71" s="5" t="inlineStr">
        <is>
          <t>2024-06-10</t>
        </is>
      </c>
      <c r="B71" s="16" t="n">
        <v>16711</v>
      </c>
      <c r="C71" s="16" t="n">
        <v>19675</v>
      </c>
      <c r="D71" s="16" t="n">
        <v>21640</v>
      </c>
      <c r="E71" s="16" t="n">
        <v>2345</v>
      </c>
      <c r="F71" s="16" t="n">
        <v>2390</v>
      </c>
      <c r="G71" s="16" t="n">
        <v>3390</v>
      </c>
      <c r="H71" s="16" t="n"/>
    </row>
    <row r="72">
      <c r="A72" s="8" t="inlineStr">
        <is>
          <t>2024-06-17</t>
        </is>
      </c>
      <c r="B72" s="15" t="n">
        <v>16008</v>
      </c>
      <c r="C72" s="15" t="n">
        <v>18273</v>
      </c>
      <c r="D72" s="15" t="n">
        <v>20549</v>
      </c>
      <c r="E72" s="15" t="n">
        <v>2345</v>
      </c>
      <c r="F72" s="15" t="n">
        <v>2390</v>
      </c>
      <c r="G72" s="15" t="n">
        <v>3390</v>
      </c>
      <c r="H72" s="15" t="n"/>
    </row>
    <row r="73">
      <c r="A73" s="5" t="inlineStr">
        <is>
          <t>2024-06-24</t>
        </is>
      </c>
      <c r="B73" s="16" t="n">
        <v>15885</v>
      </c>
      <c r="C73" s="16" t="n">
        <v>18064</v>
      </c>
      <c r="D73" s="16" t="n">
        <v>20239</v>
      </c>
      <c r="E73" s="16" t="n">
        <v>2345</v>
      </c>
      <c r="F73" s="16" t="n">
        <v>2390</v>
      </c>
      <c r="G73" s="16" t="n">
        <v>3390</v>
      </c>
      <c r="H73" s="16" t="n"/>
    </row>
    <row r="74">
      <c r="A74" s="8" t="inlineStr">
        <is>
          <t>2024-07-01</t>
        </is>
      </c>
      <c r="B74" s="15" t="n">
        <v>15582</v>
      </c>
      <c r="C74" s="15" t="n">
        <v>18485</v>
      </c>
      <c r="D74" s="15" t="n">
        <v>20561</v>
      </c>
      <c r="E74" s="15" t="n">
        <v>2345</v>
      </c>
      <c r="F74" s="15" t="n">
        <v>2390</v>
      </c>
      <c r="G74" s="15" t="n">
        <v>3390</v>
      </c>
      <c r="H74" s="15" t="n"/>
    </row>
    <row r="75">
      <c r="A75" s="5" t="inlineStr">
        <is>
          <t>2024-07-08</t>
        </is>
      </c>
      <c r="B75" s="16" t="n">
        <v>15409</v>
      </c>
      <c r="C75" s="16" t="n">
        <v>18722</v>
      </c>
      <c r="D75" s="16" t="n">
        <v>20660</v>
      </c>
      <c r="E75" s="16" t="n">
        <v>2345</v>
      </c>
      <c r="F75" s="16" t="n">
        <v>2390</v>
      </c>
      <c r="G75" s="16" t="n">
        <v>3390</v>
      </c>
      <c r="H75" s="16" t="n"/>
    </row>
    <row r="76">
      <c r="A76" s="8" t="inlineStr">
        <is>
          <t>2024-07-22</t>
        </is>
      </c>
      <c r="B76" s="15" t="n">
        <v>15276</v>
      </c>
      <c r="C76" s="15" t="n">
        <v>18611</v>
      </c>
      <c r="D76" s="15" t="n">
        <v>20717</v>
      </c>
      <c r="E76" s="15" t="n">
        <v>2345</v>
      </c>
      <c r="F76" s="15" t="n">
        <v>2390</v>
      </c>
      <c r="G76" s="15" t="n">
        <v>3390</v>
      </c>
      <c r="H76" s="15" t="n"/>
    </row>
    <row r="77">
      <c r="A77" s="5" t="inlineStr">
        <is>
          <t>2024-07-29</t>
        </is>
      </c>
      <c r="B77" s="16" t="n">
        <v>14917</v>
      </c>
      <c r="C77" s="16" t="n">
        <v>18318</v>
      </c>
      <c r="D77" s="16" t="n">
        <v>20589</v>
      </c>
      <c r="E77" s="16" t="n">
        <v>2345</v>
      </c>
      <c r="F77" s="16" t="n">
        <v>2390</v>
      </c>
      <c r="G77" s="16" t="n">
        <v>3390</v>
      </c>
      <c r="H77" s="16" t="n"/>
    </row>
    <row r="78">
      <c r="A78" s="8" t="inlineStr">
        <is>
          <t>2024-08-05</t>
        </is>
      </c>
      <c r="B78" s="15" t="n">
        <v>14984</v>
      </c>
      <c r="C78" s="15" t="n">
        <v>17920</v>
      </c>
      <c r="D78" s="15" t="n">
        <v>20733</v>
      </c>
      <c r="E78" s="15" t="n">
        <v>2345</v>
      </c>
      <c r="F78" s="15" t="n">
        <v>2390</v>
      </c>
      <c r="G78" s="15" t="n">
        <v>3390</v>
      </c>
      <c r="H78" s="15" t="n"/>
    </row>
    <row r="79">
      <c r="A79" s="5" t="inlineStr">
        <is>
          <t>2024-08-12</t>
        </is>
      </c>
      <c r="B79" s="16" t="n">
        <v>14934</v>
      </c>
      <c r="C79" s="16" t="n">
        <v>17787</v>
      </c>
      <c r="D79" s="16" t="n">
        <v>20434</v>
      </c>
      <c r="E79" s="16" t="n">
        <v>2345</v>
      </c>
      <c r="F79" s="16" t="n">
        <v>2390</v>
      </c>
      <c r="G79" s="16" t="n">
        <v>3390</v>
      </c>
      <c r="H79" s="16" t="n"/>
    </row>
    <row r="80">
      <c r="A80" s="8" t="inlineStr">
        <is>
          <t>2024-08-19</t>
        </is>
      </c>
      <c r="B80" s="15" t="n">
        <v>14616</v>
      </c>
      <c r="C80" s="15" t="n">
        <v>17513</v>
      </c>
      <c r="D80" s="15" t="n">
        <v>20295</v>
      </c>
      <c r="E80" s="15" t="n">
        <v>2345</v>
      </c>
      <c r="F80" s="15" t="n">
        <v>2390</v>
      </c>
      <c r="G80" s="15" t="n">
        <v>3390</v>
      </c>
      <c r="H80" s="15" t="n"/>
    </row>
    <row r="81">
      <c r="A81" s="5" t="inlineStr">
        <is>
          <t>2024-08-26</t>
        </is>
      </c>
      <c r="B81" s="16" t="n">
        <v>14451</v>
      </c>
      <c r="C81" s="16" t="n">
        <v>17721</v>
      </c>
      <c r="D81" s="16" t="n">
        <v>20253</v>
      </c>
      <c r="E81" s="16" t="n">
        <v>2345</v>
      </c>
      <c r="F81" s="16" t="n">
        <v>2390</v>
      </c>
      <c r="G81" s="16" t="n">
        <v>3390</v>
      </c>
      <c r="H81" s="16" t="n"/>
    </row>
    <row r="82">
      <c r="A82" s="8" t="inlineStr">
        <is>
          <t>2024-09-02</t>
        </is>
      </c>
      <c r="B82" s="15" t="n">
        <v>14408</v>
      </c>
      <c r="C82" s="15" t="n">
        <v>17931</v>
      </c>
      <c r="D82" s="15" t="n">
        <v>20439</v>
      </c>
      <c r="E82" s="15" t="n">
        <v>2345</v>
      </c>
      <c r="F82" s="15" t="n">
        <v>2390</v>
      </c>
      <c r="G82" s="15" t="n">
        <v>3390</v>
      </c>
      <c r="H82" s="15" t="n"/>
    </row>
    <row r="83">
      <c r="A83" s="5" t="inlineStr">
        <is>
          <t>2024-09-09</t>
        </is>
      </c>
      <c r="B83" s="16" t="n">
        <v>14496</v>
      </c>
      <c r="C83" s="16" t="n">
        <v>18188</v>
      </c>
      <c r="D83" s="16" t="n">
        <v>20689</v>
      </c>
      <c r="E83" s="16" t="n">
        <v>2345</v>
      </c>
      <c r="F83" s="16" t="n">
        <v>2390</v>
      </c>
      <c r="G83" s="16" t="n">
        <v>3390</v>
      </c>
      <c r="H83" s="16" t="n"/>
    </row>
    <row r="84">
      <c r="A84" s="8" t="inlineStr">
        <is>
          <t>2024-09-16</t>
        </is>
      </c>
      <c r="B84" s="15" t="n">
        <v>14594</v>
      </c>
      <c r="C84" s="15" t="n">
        <v>18241</v>
      </c>
      <c r="D84" s="15" t="n">
        <v>20689</v>
      </c>
      <c r="E84" s="15" t="n">
        <v>2345</v>
      </c>
      <c r="F84" s="15" t="n">
        <v>2390</v>
      </c>
      <c r="G84" s="15" t="n">
        <v>3390</v>
      </c>
      <c r="H84" s="15" t="n"/>
    </row>
    <row r="85">
      <c r="A85" s="5" t="inlineStr">
        <is>
          <t>2024-09-23</t>
        </is>
      </c>
      <c r="B85" s="16" t="n">
        <v>14603</v>
      </c>
      <c r="C85" s="16" t="n">
        <v>18188</v>
      </c>
      <c r="D85" s="16" t="n">
        <v>20599</v>
      </c>
      <c r="E85" s="16" t="n">
        <v>2345</v>
      </c>
      <c r="F85" s="16" t="n">
        <v>2390</v>
      </c>
      <c r="G85" s="16" t="n">
        <v>3390</v>
      </c>
      <c r="H85" s="16" t="n"/>
    </row>
    <row r="86">
      <c r="A86" s="8" t="inlineStr">
        <is>
          <t>2024-09-30</t>
        </is>
      </c>
      <c r="B86" s="15" t="n">
        <v>14448</v>
      </c>
      <c r="C86" s="15" t="n">
        <v>18141</v>
      </c>
      <c r="D86" s="15" t="n">
        <v>20594</v>
      </c>
      <c r="E86" s="15" t="n">
        <v>2345</v>
      </c>
      <c r="F86" s="15" t="n">
        <v>2390</v>
      </c>
      <c r="G86" s="15" t="n">
        <v>3140</v>
      </c>
      <c r="H86" s="15" t="n"/>
    </row>
    <row r="87">
      <c r="A87" s="5" t="inlineStr">
        <is>
          <t>2024-10-07</t>
        </is>
      </c>
      <c r="B87" s="16" t="n">
        <v>14281</v>
      </c>
      <c r="C87" s="16" t="n">
        <v>18039</v>
      </c>
      <c r="D87" s="16" t="n">
        <v>20421</v>
      </c>
      <c r="E87" s="16" t="n">
        <v>2345</v>
      </c>
      <c r="F87" s="16" t="n">
        <v>2390</v>
      </c>
      <c r="G87" s="16" t="n">
        <v>3140</v>
      </c>
      <c r="H87" s="16" t="n"/>
    </row>
    <row r="88">
      <c r="A88" s="8" t="inlineStr">
        <is>
          <t>2024-10-14</t>
        </is>
      </c>
      <c r="B88" s="15" t="n">
        <v>14287</v>
      </c>
      <c r="C88" s="15" t="n">
        <v>17984</v>
      </c>
      <c r="D88" s="15" t="n">
        <v>20443</v>
      </c>
      <c r="E88" s="15" t="n">
        <v>2345</v>
      </c>
      <c r="F88" s="15" t="n">
        <v>2390</v>
      </c>
      <c r="G88" s="15" t="n">
        <v>3140</v>
      </c>
      <c r="H88" s="15" t="n"/>
    </row>
    <row r="89">
      <c r="A89" s="5" t="inlineStr">
        <is>
          <t>2024-10-21</t>
        </is>
      </c>
      <c r="B89" s="16" t="n">
        <v>14255</v>
      </c>
      <c r="C89" s="16" t="n">
        <v>17727</v>
      </c>
      <c r="D89" s="16" t="n">
        <v>20334</v>
      </c>
      <c r="E89" s="16" t="n">
        <v>2345</v>
      </c>
      <c r="F89" s="16" t="n">
        <v>2390</v>
      </c>
      <c r="G89" s="16" t="n">
        <v>3140</v>
      </c>
      <c r="H89" s="16" t="n"/>
    </row>
    <row r="90">
      <c r="A90" s="8" t="inlineStr">
        <is>
          <t>2024-10-28</t>
        </is>
      </c>
      <c r="B90" s="15" t="n">
        <v>14159</v>
      </c>
      <c r="C90" s="15" t="n">
        <v>17711</v>
      </c>
      <c r="D90" s="15" t="n">
        <v>20334</v>
      </c>
      <c r="E90" s="15" t="n">
        <v>2345</v>
      </c>
      <c r="F90" s="15" t="n">
        <v>2390</v>
      </c>
      <c r="G90" s="15" t="n">
        <v>3140</v>
      </c>
      <c r="H90" s="15" t="n"/>
    </row>
    <row r="91">
      <c r="A91" s="5" t="inlineStr">
        <is>
          <t>2024-11-04</t>
        </is>
      </c>
      <c r="B91" s="16" t="n">
        <v>14093</v>
      </c>
      <c r="C91" s="16" t="n">
        <v>17736</v>
      </c>
      <c r="D91" s="16" t="n">
        <v>20446</v>
      </c>
      <c r="E91" s="16" t="n">
        <v>2345</v>
      </c>
      <c r="F91" s="16" t="n">
        <v>2390</v>
      </c>
      <c r="G91" s="16" t="n">
        <v>3140</v>
      </c>
      <c r="H91" s="16" t="n"/>
    </row>
    <row r="92">
      <c r="A92" s="8" t="inlineStr">
        <is>
          <t>2024-11-12</t>
        </is>
      </c>
      <c r="B92" s="15" t="n">
        <v>14093</v>
      </c>
      <c r="C92" s="15" t="n">
        <v>17762</v>
      </c>
      <c r="D92" s="15" t="n">
        <v>20408</v>
      </c>
      <c r="E92" s="15" t="n">
        <v>2345</v>
      </c>
      <c r="F92" s="15" t="n">
        <v>2390</v>
      </c>
      <c r="G92" s="15" t="n">
        <v>3140</v>
      </c>
      <c r="H92" s="15" t="n"/>
    </row>
    <row r="93">
      <c r="A93" s="5" t="inlineStr">
        <is>
          <t>2024-11-18</t>
        </is>
      </c>
      <c r="B93" s="16" t="n">
        <v>14168</v>
      </c>
      <c r="C93" s="16" t="n">
        <v>17899</v>
      </c>
      <c r="D93" s="16" t="n">
        <v>20264</v>
      </c>
      <c r="E93" s="16" t="n">
        <v>2345</v>
      </c>
      <c r="F93" s="16" t="n">
        <v>2390</v>
      </c>
      <c r="G93" s="16" t="n">
        <v>3140</v>
      </c>
      <c r="H93" s="16" t="n"/>
    </row>
    <row r="94">
      <c r="A94" s="8" t="inlineStr">
        <is>
          <t>2024-11-25</t>
        </is>
      </c>
      <c r="B94" s="15" t="n">
        <v>13998</v>
      </c>
      <c r="C94" s="15" t="n">
        <v>17735</v>
      </c>
      <c r="D94" s="15" t="n">
        <v>20312</v>
      </c>
      <c r="E94" s="15" t="n">
        <v>2345</v>
      </c>
      <c r="F94" s="15" t="n">
        <v>2390</v>
      </c>
      <c r="G94" s="15" t="n">
        <v>3140</v>
      </c>
      <c r="H94" s="15" t="n"/>
    </row>
    <row r="95">
      <c r="A95" s="5" t="inlineStr">
        <is>
          <t>2024-12-02</t>
        </is>
      </c>
      <c r="B95" s="16" t="n">
        <v>14282</v>
      </c>
      <c r="C95" s="16" t="n">
        <v>18068</v>
      </c>
      <c r="D95" s="16" t="n">
        <v>20449</v>
      </c>
      <c r="E95" s="16" t="n">
        <v>2345</v>
      </c>
      <c r="F95" s="16" t="n">
        <v>2390</v>
      </c>
      <c r="G95" s="16" t="n">
        <v>3140</v>
      </c>
      <c r="H95" s="16" t="n"/>
    </row>
    <row r="96">
      <c r="A96" s="8" t="inlineStr">
        <is>
          <t>2024-12-09</t>
        </is>
      </c>
      <c r="B96" s="15" t="n">
        <v>14442</v>
      </c>
      <c r="C96" s="15" t="n">
        <v>17971</v>
      </c>
      <c r="D96" s="15" t="n">
        <v>20492</v>
      </c>
      <c r="E96" s="15" t="n">
        <v>2345</v>
      </c>
      <c r="F96" s="15" t="n">
        <v>2390</v>
      </c>
      <c r="G96" s="15" t="n">
        <v>3140</v>
      </c>
      <c r="H96" s="15" t="n"/>
    </row>
    <row r="97">
      <c r="A97" s="5" t="inlineStr">
        <is>
          <t>2024-12-16</t>
        </is>
      </c>
      <c r="B97" s="16" t="n">
        <v>14581</v>
      </c>
      <c r="C97" s="16" t="n">
        <v>17919</v>
      </c>
      <c r="D97" s="16" t="n">
        <v>20399</v>
      </c>
      <c r="E97" s="16" t="n">
        <v>2345</v>
      </c>
      <c r="F97" s="16" t="n">
        <v>2390</v>
      </c>
      <c r="G97" s="16" t="n">
        <v>3140</v>
      </c>
      <c r="H97" s="16" t="n"/>
    </row>
    <row r="98">
      <c r="A98" s="8" t="inlineStr">
        <is>
          <t>2024-12-23</t>
        </is>
      </c>
      <c r="B98" s="15" t="n">
        <v>14989</v>
      </c>
      <c r="C98" s="15" t="n">
        <v>18450</v>
      </c>
      <c r="D98" s="15" t="n">
        <v>20904</v>
      </c>
      <c r="E98" s="15" t="n">
        <v>2345</v>
      </c>
      <c r="F98" s="15" t="n">
        <v>2390</v>
      </c>
      <c r="G98" s="15" t="n">
        <v>3140</v>
      </c>
      <c r="H98" s="15" t="n"/>
    </row>
    <row r="99">
      <c r="A99" s="5" t="inlineStr">
        <is>
          <t>2024-12-30</t>
        </is>
      </c>
      <c r="B99" s="16" t="n">
        <v>15211</v>
      </c>
      <c r="C99" s="16" t="n">
        <v>18914</v>
      </c>
      <c r="D99" s="16" t="n">
        <v>21099</v>
      </c>
      <c r="E99" s="16" t="n">
        <v>2345</v>
      </c>
      <c r="F99" s="16" t="n">
        <v>2390</v>
      </c>
      <c r="G99" s="16" t="n">
        <v>3140</v>
      </c>
      <c r="H99" s="16" t="n"/>
    </row>
    <row r="100">
      <c r="A100" s="8" t="inlineStr">
        <is>
          <t>2025-01-06</t>
        </is>
      </c>
      <c r="B100" s="15" t="n">
        <v>15276</v>
      </c>
      <c r="C100" s="15" t="n">
        <v>18991</v>
      </c>
      <c r="D100" s="15" t="n">
        <v>21099</v>
      </c>
      <c r="E100" s="15" t="n">
        <v>2345</v>
      </c>
      <c r="F100" s="15" t="n">
        <v>2390</v>
      </c>
      <c r="G100" s="15" t="n">
        <v>3140</v>
      </c>
      <c r="H100" s="15" t="n"/>
    </row>
    <row r="101">
      <c r="A101" s="5" t="inlineStr">
        <is>
          <t>2025-01-13</t>
        </is>
      </c>
      <c r="B101" s="16" t="n">
        <v>15490</v>
      </c>
      <c r="C101" s="16" t="n">
        <v>19073</v>
      </c>
      <c r="D101" s="16" t="n">
        <v>21687</v>
      </c>
      <c r="E101" s="16" t="n">
        <v>2345</v>
      </c>
      <c r="F101" s="16" t="n">
        <v>2390</v>
      </c>
      <c r="G101" s="16" t="n">
        <v>3140</v>
      </c>
      <c r="H101" s="16" t="n"/>
    </row>
    <row r="102">
      <c r="A102" s="8" t="inlineStr">
        <is>
          <t>2025-01-20</t>
        </is>
      </c>
      <c r="B102" s="15" t="n">
        <v>15642</v>
      </c>
      <c r="C102" s="15" t="n">
        <v>19008</v>
      </c>
      <c r="D102" s="15" t="n">
        <v>21880</v>
      </c>
      <c r="E102" s="15" t="n">
        <v>2345</v>
      </c>
      <c r="F102" s="15" t="n">
        <v>2390</v>
      </c>
      <c r="G102" s="15" t="n">
        <v>3140</v>
      </c>
      <c r="H102" s="15" t="n"/>
    </row>
    <row r="103">
      <c r="A103" s="5" t="inlineStr">
        <is>
          <t>2025-01-27</t>
        </is>
      </c>
      <c r="B103" s="16" t="n">
        <v>15836</v>
      </c>
      <c r="C103" s="16" t="n">
        <v>19220</v>
      </c>
      <c r="D103" s="16" t="n">
        <v>21876</v>
      </c>
      <c r="E103" s="16" t="n">
        <v>2345</v>
      </c>
      <c r="F103" s="16" t="n">
        <v>2390</v>
      </c>
      <c r="G103" s="16" t="n">
        <v>3140</v>
      </c>
      <c r="H103" s="16" t="n"/>
    </row>
    <row r="104">
      <c r="A104" s="8" t="inlineStr">
        <is>
          <t>2025-02-03</t>
        </is>
      </c>
      <c r="B104" s="15" t="n">
        <v>16153</v>
      </c>
      <c r="C104" s="15" t="n">
        <v>19450</v>
      </c>
      <c r="D104" s="15" t="n">
        <v>22223</v>
      </c>
      <c r="E104" s="15" t="n">
        <v>2345</v>
      </c>
      <c r="F104" s="15" t="n">
        <v>2390</v>
      </c>
      <c r="G104" s="15" t="n">
        <v>3140</v>
      </c>
      <c r="H104" s="15" t="n"/>
    </row>
    <row r="105">
      <c r="A105" s="5" t="inlineStr">
        <is>
          <t>2025-02-10</t>
        </is>
      </c>
      <c r="B105" s="16" t="n">
        <v>16523</v>
      </c>
      <c r="C105" s="16" t="n">
        <v>19598</v>
      </c>
      <c r="D105" s="16" t="n">
        <v>22585</v>
      </c>
      <c r="E105" s="16" t="n">
        <v>2345</v>
      </c>
      <c r="F105" s="16" t="n">
        <v>2390</v>
      </c>
      <c r="G105" s="16" t="n">
        <v>3140</v>
      </c>
      <c r="H105" s="16" t="n"/>
    </row>
    <row r="106">
      <c r="A106" s="8" t="inlineStr">
        <is>
          <t>2025-02-17</t>
        </is>
      </c>
      <c r="B106" s="15" t="n">
        <v>16511</v>
      </c>
      <c r="C106" s="15" t="n">
        <v>19680</v>
      </c>
      <c r="D106" s="15" t="n">
        <v>22570</v>
      </c>
      <c r="E106" s="15" t="n">
        <v>2345</v>
      </c>
      <c r="F106" s="15" t="n">
        <v>2390</v>
      </c>
      <c r="G106" s="15" t="n">
        <v>3140</v>
      </c>
      <c r="H106" s="15" t="n"/>
    </row>
    <row r="107">
      <c r="A107" s="5" t="inlineStr">
        <is>
          <t>2025-02-24</t>
        </is>
      </c>
      <c r="B107" s="16" t="n">
        <v>16802</v>
      </c>
      <c r="C107" s="16" t="n">
        <v>19820</v>
      </c>
      <c r="D107" s="16" t="n">
        <v>22653</v>
      </c>
      <c r="E107" s="16" t="n">
        <v>2345</v>
      </c>
      <c r="F107" s="16" t="n">
        <v>2390</v>
      </c>
      <c r="G107" s="16" t="n">
        <v>3140</v>
      </c>
      <c r="H107" s="16" t="n"/>
    </row>
    <row r="108">
      <c r="A108" s="8" t="inlineStr">
        <is>
          <t>2025-03-10</t>
        </is>
      </c>
      <c r="B108" s="15" t="n">
        <v>16981</v>
      </c>
      <c r="C108" s="15" t="n">
        <v>19992</v>
      </c>
      <c r="D108" s="15" t="n">
        <v>22666</v>
      </c>
      <c r="E108" s="15" t="n">
        <v>2345</v>
      </c>
      <c r="F108" s="15" t="n">
        <v>2390</v>
      </c>
      <c r="G108" s="15" t="n">
        <v>3140</v>
      </c>
      <c r="H108" s="15" t="n"/>
    </row>
    <row r="109">
      <c r="A109" s="5" t="inlineStr">
        <is>
          <t>2025-03-17</t>
        </is>
      </c>
      <c r="B109" s="16" t="n">
        <v>17115</v>
      </c>
      <c r="C109" s="16" t="n">
        <v>19931</v>
      </c>
      <c r="D109" s="16" t="n">
        <v>22632</v>
      </c>
      <c r="E109" s="16" t="n">
        <v>2345</v>
      </c>
      <c r="F109" s="16" t="n">
        <v>2390</v>
      </c>
      <c r="G109" s="16" t="n">
        <v>3140</v>
      </c>
      <c r="H109" s="16" t="n"/>
    </row>
    <row r="110">
      <c r="A110" s="8" t="inlineStr">
        <is>
          <t>2025-03-24</t>
        </is>
      </c>
      <c r="B110" s="15" t="n">
        <v>17263</v>
      </c>
      <c r="C110" s="15" t="n">
        <v>19887</v>
      </c>
      <c r="D110" s="15" t="n">
        <v>22438</v>
      </c>
      <c r="E110" s="15" t="n">
        <v>2345</v>
      </c>
      <c r="F110" s="15" t="n">
        <v>2390</v>
      </c>
      <c r="G110" s="15" t="n">
        <v>3140</v>
      </c>
      <c r="H110" s="15" t="n"/>
    </row>
    <row r="111">
      <c r="A111" s="5" t="inlineStr">
        <is>
          <t>2025-03-31</t>
        </is>
      </c>
      <c r="B111" s="16" t="n">
        <v>17351</v>
      </c>
      <c r="C111" s="16" t="n">
        <v>19919</v>
      </c>
      <c r="D111" s="16" t="n">
        <v>22394</v>
      </c>
      <c r="E111" s="16" t="n">
        <v>2345</v>
      </c>
      <c r="F111" s="16" t="n">
        <v>2390</v>
      </c>
      <c r="G111" s="16" t="n">
        <v>3140</v>
      </c>
      <c r="H111" s="16" t="n"/>
    </row>
    <row r="112">
      <c r="A112" s="8" t="inlineStr">
        <is>
          <t>2025-04-07</t>
        </is>
      </c>
      <c r="B112" s="15" t="n">
        <v>17375</v>
      </c>
      <c r="C112" s="15" t="n">
        <v>19911</v>
      </c>
      <c r="D112" s="15" t="n">
        <v>22628</v>
      </c>
      <c r="E112" s="15" t="n">
        <v>2345</v>
      </c>
      <c r="F112" s="15" t="n">
        <v>2390</v>
      </c>
      <c r="G112" s="15" t="n">
        <v>3140</v>
      </c>
      <c r="H112" s="15" t="n"/>
    </row>
    <row r="113">
      <c r="A113" s="5" t="inlineStr">
        <is>
          <t>2025-04-14</t>
        </is>
      </c>
      <c r="B113" s="16" t="n">
        <v>17498</v>
      </c>
      <c r="C113" s="16" t="n">
        <v>19990</v>
      </c>
      <c r="D113" s="16" t="n">
        <v>22947</v>
      </c>
      <c r="E113" s="16" t="n">
        <v>2345</v>
      </c>
      <c r="F113" s="16" t="n">
        <v>2390</v>
      </c>
      <c r="G113" s="16" t="n">
        <v>3140</v>
      </c>
      <c r="H113" s="16" t="n"/>
    </row>
    <row r="114">
      <c r="A114" s="8" t="inlineStr">
        <is>
          <t>2025-04-21</t>
        </is>
      </c>
      <c r="B114" s="15" t="n">
        <v>17481</v>
      </c>
      <c r="C114" s="15" t="n">
        <v>20153</v>
      </c>
      <c r="D114" s="15" t="n">
        <v>22940</v>
      </c>
      <c r="E114" s="15" t="n">
        <v>2345</v>
      </c>
      <c r="F114" s="15" t="n">
        <v>2390</v>
      </c>
      <c r="G114" s="15" t="n">
        <v>3140</v>
      </c>
      <c r="H114" s="15" t="n"/>
    </row>
    <row r="115">
      <c r="A115" s="5" t="inlineStr">
        <is>
          <t>2025-04-28</t>
        </is>
      </c>
      <c r="B115" s="16" t="n">
        <v>17477</v>
      </c>
      <c r="C115" s="16" t="n">
        <v>20203</v>
      </c>
      <c r="D115" s="16" t="n">
        <v>23204</v>
      </c>
      <c r="E115" s="16" t="n">
        <v>2345</v>
      </c>
      <c r="F115" s="16" t="n">
        <v>2390</v>
      </c>
      <c r="G115" s="16" t="n">
        <v>3140</v>
      </c>
      <c r="H115" s="16" t="n"/>
    </row>
    <row r="116">
      <c r="A116" s="8" t="inlineStr">
        <is>
          <t>2025-05-05</t>
        </is>
      </c>
      <c r="B116" s="15" t="n">
        <v>17477</v>
      </c>
      <c r="C116" s="15" t="n">
        <v>20203</v>
      </c>
      <c r="D116" s="15" t="n">
        <v>23325</v>
      </c>
      <c r="E116" s="15" t="n">
        <v>2345</v>
      </c>
      <c r="F116" s="15" t="n">
        <v>2390</v>
      </c>
      <c r="G116" s="15" t="n">
        <v>3140</v>
      </c>
      <c r="H116" s="15" t="n"/>
    </row>
    <row r="117">
      <c r="A117" s="5" t="inlineStr">
        <is>
          <t>2025-05-12</t>
        </is>
      </c>
      <c r="B117" s="16" t="n">
        <v>17274</v>
      </c>
      <c r="C117" s="16" t="n">
        <v>20243</v>
      </c>
      <c r="D117" s="16" t="n">
        <v>23405</v>
      </c>
      <c r="E117" s="16" t="n">
        <v>2345</v>
      </c>
      <c r="F117" s="16" t="n">
        <v>2390</v>
      </c>
      <c r="G117" s="16" t="n">
        <v>3140</v>
      </c>
      <c r="H117" s="16" t="n"/>
    </row>
    <row r="118">
      <c r="A118" s="8" t="inlineStr">
        <is>
          <t>2025-05-19</t>
        </is>
      </c>
      <c r="B118" s="15" t="n">
        <v>17188</v>
      </c>
      <c r="C118" s="15" t="n">
        <v>20195</v>
      </c>
      <c r="D118" s="15" t="n">
        <v>23364</v>
      </c>
      <c r="E118" s="15" t="n">
        <v>2345</v>
      </c>
      <c r="F118" s="15" t="n">
        <v>2390</v>
      </c>
      <c r="G118" s="15" t="n">
        <v>3140</v>
      </c>
      <c r="H118" s="15" t="n"/>
    </row>
    <row r="119">
      <c r="A119" s="5" t="inlineStr">
        <is>
          <t>2025-05-26</t>
        </is>
      </c>
      <c r="B119" s="16" t="n">
        <v>17143</v>
      </c>
      <c r="C119" s="16" t="n">
        <v>20482</v>
      </c>
      <c r="D119" s="16" t="n">
        <v>23424</v>
      </c>
      <c r="E119" s="16" t="n">
        <v>2345</v>
      </c>
      <c r="F119" s="16" t="n">
        <v>2590</v>
      </c>
      <c r="G119" s="16" t="n">
        <v>2940</v>
      </c>
      <c r="H119" s="16" t="n"/>
    </row>
    <row r="120">
      <c r="A120" s="8" t="inlineStr">
        <is>
          <t>2025-06-02</t>
        </is>
      </c>
      <c r="B120" s="15" t="n">
        <v>17357</v>
      </c>
      <c r="C120" s="15" t="n">
        <v>20716</v>
      </c>
      <c r="D120" s="15" t="n">
        <v>23686</v>
      </c>
      <c r="E120" s="15" t="n">
        <v>2345</v>
      </c>
      <c r="F120" s="15" t="n">
        <v>2590</v>
      </c>
      <c r="G120" s="15" t="n">
        <v>2940</v>
      </c>
      <c r="H120" s="15" t="n"/>
    </row>
    <row r="121">
      <c r="A121" s="5" t="inlineStr">
        <is>
          <t>2025-06-09</t>
        </is>
      </c>
      <c r="B121" s="16" t="n">
        <v>17163</v>
      </c>
      <c r="C121" s="16" t="n">
        <v>21418</v>
      </c>
      <c r="D121" s="16" t="n">
        <v>24322</v>
      </c>
      <c r="E121" s="16" t="n">
        <v>2345</v>
      </c>
      <c r="F121" s="16" t="n">
        <v>2590</v>
      </c>
      <c r="G121" s="16" t="n">
        <v>2940</v>
      </c>
      <c r="H121" s="16" t="n"/>
    </row>
    <row r="122">
      <c r="A122" s="8" t="inlineStr">
        <is>
          <t>2025-06-16</t>
        </is>
      </c>
      <c r="B122" s="15" t="n">
        <v>17080</v>
      </c>
      <c r="C122" s="15" t="n">
        <v>21548</v>
      </c>
      <c r="D122" s="15" t="n">
        <v>24577</v>
      </c>
      <c r="E122" s="15" t="n">
        <v>2345</v>
      </c>
      <c r="F122" s="15" t="n">
        <v>2590</v>
      </c>
      <c r="G122" s="15" t="n">
        <v>2940</v>
      </c>
      <c r="H122" s="15" t="n"/>
    </row>
    <row r="123">
      <c r="A123" s="5" t="inlineStr">
        <is>
          <t>2025-06-23</t>
        </is>
      </c>
      <c r="B123" s="16" t="n">
        <v>16922</v>
      </c>
      <c r="C123" s="16" t="n">
        <v>21437</v>
      </c>
      <c r="D123" s="16" t="n">
        <v>24710</v>
      </c>
      <c r="E123" s="16" t="n">
        <v>2345</v>
      </c>
      <c r="F123" s="16" t="n">
        <v>2590</v>
      </c>
      <c r="G123" s="16" t="n">
        <v>2940</v>
      </c>
      <c r="H123" s="16" t="n"/>
    </row>
    <row r="124">
      <c r="A124" s="8" t="inlineStr">
        <is>
          <t>2025-06-30</t>
        </is>
      </c>
      <c r="B124" s="15" t="n">
        <v>16922</v>
      </c>
      <c r="C124" s="15" t="n">
        <v>21315</v>
      </c>
      <c r="D124" s="15" t="n">
        <v>24629</v>
      </c>
      <c r="E124" s="15" t="n">
        <v>2345</v>
      </c>
      <c r="F124" s="15" t="n">
        <v>2590</v>
      </c>
      <c r="G124" s="15" t="n">
        <v>2940</v>
      </c>
      <c r="H124" s="15" t="n"/>
    </row>
    <row r="125">
      <c r="A125" s="5" t="inlineStr">
        <is>
          <t>2025-07-07</t>
        </is>
      </c>
      <c r="B125" s="16" t="n">
        <v>16971</v>
      </c>
      <c r="C125" s="16" t="n">
        <v>21442</v>
      </c>
      <c r="D125" s="16" t="n">
        <v>24629</v>
      </c>
      <c r="E125" s="16" t="n">
        <v>2345</v>
      </c>
      <c r="F125" s="16" t="n">
        <v>2590</v>
      </c>
      <c r="G125" s="16" t="n">
        <v>2940</v>
      </c>
      <c r="H125" s="16" t="n"/>
    </row>
    <row r="126">
      <c r="A126" s="8" t="inlineStr">
        <is>
          <t>2025-07-21</t>
        </is>
      </c>
      <c r="B126" s="15" t="n">
        <v>17021</v>
      </c>
      <c r="C126" s="15" t="n">
        <v>21565</v>
      </c>
      <c r="D126" s="15" t="n">
        <v>24565</v>
      </c>
      <c r="E126" s="15" t="n">
        <v>2345</v>
      </c>
      <c r="F126" s="15" t="n">
        <v>2590</v>
      </c>
      <c r="G126" s="15" t="n">
        <v>2940</v>
      </c>
      <c r="H126" s="15" t="n"/>
    </row>
    <row r="127">
      <c r="A127" s="5" t="inlineStr">
        <is>
          <t>2025-07-28</t>
        </is>
      </c>
      <c r="B127" s="16" t="n">
        <v>17021</v>
      </c>
      <c r="C127" s="16" t="n">
        <v>21565</v>
      </c>
      <c r="D127" s="16" t="n">
        <v>24565</v>
      </c>
      <c r="E127" s="16" t="n">
        <v>2345</v>
      </c>
      <c r="F127" s="16" t="n">
        <v>2590</v>
      </c>
      <c r="G127" s="16" t="n">
        <v>2940</v>
      </c>
      <c r="H127" s="16" t="n"/>
    </row>
    <row r="128">
      <c r="A128" s="8" t="inlineStr">
        <is>
          <t>2025-08-04</t>
        </is>
      </c>
      <c r="B128" s="15" t="n">
        <v>16949</v>
      </c>
      <c r="C128" s="15" t="n">
        <v>21067</v>
      </c>
      <c r="D128" s="15" t="n">
        <v>24338</v>
      </c>
      <c r="E128" s="15" t="n">
        <v>2345</v>
      </c>
      <c r="F128" s="15" t="n">
        <v>2590</v>
      </c>
      <c r="G128" s="15" t="n">
        <v>2965</v>
      </c>
      <c r="H128" s="15" t="n"/>
    </row>
    <row r="129">
      <c r="A129" s="5" t="inlineStr">
        <is>
          <t>2025-08-11</t>
        </is>
      </c>
      <c r="B129" s="16" t="n">
        <v>16809</v>
      </c>
      <c r="C129" s="16" t="n">
        <v>20848</v>
      </c>
      <c r="D129" s="16" t="n">
        <v>24080</v>
      </c>
      <c r="E129" s="16" t="n">
        <v>2345</v>
      </c>
      <c r="F129" s="16" t="n">
        <v>2590</v>
      </c>
      <c r="G129" s="16" t="n">
        <v>2990</v>
      </c>
      <c r="H129" s="16" t="n"/>
    </row>
    <row r="130">
      <c r="A130" s="8" t="inlineStr">
        <is>
          <t>2025-08-18</t>
        </is>
      </c>
      <c r="B130" s="15" t="n">
        <v>16781</v>
      </c>
      <c r="C130" s="15" t="n">
        <v>20575</v>
      </c>
      <c r="D130" s="15" t="n">
        <v>24176</v>
      </c>
      <c r="E130" s="15" t="n">
        <v>2345</v>
      </c>
      <c r="F130" s="15" t="n">
        <v>2590</v>
      </c>
      <c r="G130" s="15" t="n">
        <v>2990</v>
      </c>
      <c r="H130" s="15" t="n"/>
    </row>
    <row r="131">
      <c r="A131" s="5" t="inlineStr">
        <is>
          <t>2025-08-25</t>
        </is>
      </c>
      <c r="B131" s="16" t="n">
        <v>16781</v>
      </c>
      <c r="C131" s="16" t="n">
        <v>20686</v>
      </c>
      <c r="D131" s="16" t="n">
        <v>24355</v>
      </c>
      <c r="E131" s="16" t="n">
        <v>2345</v>
      </c>
      <c r="F131" s="16" t="n">
        <v>2590</v>
      </c>
      <c r="G131" s="16" t="n">
        <v>2990</v>
      </c>
      <c r="H131" s="16" t="n"/>
    </row>
    <row r="132">
      <c r="A132" s="8" t="inlineStr">
        <is>
          <t>2025-09-01</t>
        </is>
      </c>
      <c r="B132" s="15" t="n">
        <v>16691</v>
      </c>
      <c r="C132" s="15" t="n">
        <v>20737</v>
      </c>
      <c r="D132" s="15" t="n">
        <v>24485</v>
      </c>
      <c r="E132" s="15" t="n">
        <v>2345</v>
      </c>
      <c r="F132" s="15" t="n">
        <v>2590</v>
      </c>
      <c r="G132" s="15" t="n">
        <v>2940</v>
      </c>
      <c r="H132" s="15" t="n"/>
    </row>
    <row r="133">
      <c r="A133" s="5" t="inlineStr">
        <is>
          <t>2025-09-08</t>
        </is>
      </c>
      <c r="B133" s="16" t="n">
        <v>16733</v>
      </c>
      <c r="C133" s="16" t="n">
        <v>20659</v>
      </c>
      <c r="D133" s="16" t="n">
        <v>24527</v>
      </c>
      <c r="E133" s="16" t="n">
        <v>2345</v>
      </c>
      <c r="F133" s="16" t="n">
        <v>2590</v>
      </c>
      <c r="G133" s="16" t="n">
        <v>2940</v>
      </c>
      <c r="H133" s="16" t="n"/>
    </row>
    <row r="134">
      <c r="A134" s="8" t="inlineStr">
        <is>
          <t>2025-09-15</t>
        </is>
      </c>
      <c r="B134" s="15" t="n">
        <v>16768</v>
      </c>
      <c r="C134" s="15" t="n">
        <v>20737</v>
      </c>
      <c r="D134" s="15" t="n">
        <v>24485</v>
      </c>
      <c r="E134" s="15" t="n">
        <v>2345</v>
      </c>
      <c r="F134" s="15" t="n">
        <v>2590</v>
      </c>
      <c r="G134" s="15" t="n">
        <v>2940</v>
      </c>
      <c r="H134" s="15" t="n"/>
    </row>
    <row r="135">
      <c r="A135" s="5" t="inlineStr">
        <is>
          <t>2025-09-22</t>
        </is>
      </c>
      <c r="B135" s="16" t="n">
        <v>16664</v>
      </c>
      <c r="C135" s="16" t="n">
        <v>20803</v>
      </c>
      <c r="D135" s="16" t="n">
        <v>24268</v>
      </c>
      <c r="E135" s="16" t="n">
        <v>2345</v>
      </c>
      <c r="F135" s="16" t="n">
        <v>2590</v>
      </c>
      <c r="G135" s="16" t="n">
        <v>2940</v>
      </c>
      <c r="H135" s="16" t="n"/>
    </row>
    <row r="136">
      <c r="A136" s="8" t="inlineStr">
        <is>
          <t>2025-09-29</t>
        </is>
      </c>
      <c r="B136" s="15" t="n">
        <v>16622</v>
      </c>
      <c r="C136" s="15" t="n">
        <v>20841</v>
      </c>
      <c r="D136" s="15" t="n">
        <v>24058</v>
      </c>
      <c r="E136" s="15" t="n">
        <v>2345</v>
      </c>
      <c r="F136" s="15" t="n">
        <v>2590</v>
      </c>
      <c r="G136" s="15" t="n">
        <v>2940</v>
      </c>
      <c r="H136" s="15" t="n"/>
    </row>
    <row r="137">
      <c r="A137" s="5" t="inlineStr">
        <is>
          <t>2025-10-06</t>
        </is>
      </c>
      <c r="B137" s="16" t="n">
        <v>16584</v>
      </c>
      <c r="C137" s="16" t="n">
        <v>20734</v>
      </c>
      <c r="D137" s="16" t="n">
        <v>24188</v>
      </c>
      <c r="E137" s="16" t="n">
        <v>2345</v>
      </c>
      <c r="F137" s="16" t="n">
        <v>2590</v>
      </c>
      <c r="G137" s="16" t="n">
        <v>2940</v>
      </c>
      <c r="H137" s="16" t="n"/>
    </row>
    <row r="138">
      <c r="A138" s="8" t="inlineStr">
        <is>
          <t>2025-10-13</t>
        </is>
      </c>
      <c r="B138" s="15" t="n">
        <v>16716</v>
      </c>
      <c r="C138" s="15" t="n">
        <v>20764</v>
      </c>
      <c r="D138" s="15" t="n">
        <v>24266</v>
      </c>
      <c r="E138" s="15" t="n">
        <v>2345</v>
      </c>
      <c r="F138" s="15" t="n">
        <v>2590</v>
      </c>
      <c r="G138" s="15" t="n">
        <v>2940</v>
      </c>
      <c r="H138" s="15" t="n"/>
    </row>
    <row r="139">
      <c r="A139" s="5" t="inlineStr">
        <is>
          <t>2025-10-20</t>
        </is>
      </c>
      <c r="B139" s="16" t="n">
        <v>16716</v>
      </c>
      <c r="C139" s="16" t="n">
        <v>20916</v>
      </c>
      <c r="D139" s="16" t="n">
        <v>24353</v>
      </c>
      <c r="E139" s="16" t="n">
        <v>2345</v>
      </c>
      <c r="F139" s="16" t="n">
        <v>2590</v>
      </c>
      <c r="G139" s="16" t="n">
        <v>2940</v>
      </c>
      <c r="H139" s="16" t="n"/>
    </row>
    <row r="140">
      <c r="A140" s="8" t="inlineStr">
        <is>
          <t>2025-10-27</t>
        </is>
      </c>
      <c r="B140" s="15" t="n">
        <v>16684</v>
      </c>
      <c r="C140" s="15" t="n">
        <v>20826</v>
      </c>
      <c r="D140" s="15" t="n">
        <v>24222</v>
      </c>
      <c r="E140" s="15" t="n">
        <v>2345</v>
      </c>
      <c r="F140" s="15" t="n">
        <v>2590</v>
      </c>
      <c r="G140" s="15" t="n">
        <v>3014</v>
      </c>
      <c r="H140" s="15" t="n"/>
    </row>
    <row r="141">
      <c r="A141" s="5" t="inlineStr">
        <is>
          <t>2025-11-03</t>
        </is>
      </c>
      <c r="B141" s="16" t="n">
        <v>16641</v>
      </c>
      <c r="C141" s="16" t="n">
        <v>20746</v>
      </c>
      <c r="D141" s="16" t="n">
        <v>24171</v>
      </c>
      <c r="E141" s="16" t="n">
        <v>2345</v>
      </c>
      <c r="F141" s="16" t="n">
        <v>2590</v>
      </c>
      <c r="G141" s="16" t="n">
        <v>3014</v>
      </c>
      <c r="H141" s="16" t="n"/>
    </row>
    <row r="142">
      <c r="A142" s="8" t="inlineStr">
        <is>
          <t>2025-11-10</t>
        </is>
      </c>
      <c r="B142" s="15" t="n">
        <v>16671</v>
      </c>
      <c r="C142" s="15" t="n">
        <v>20875</v>
      </c>
      <c r="D142" s="15" t="n">
        <v>24119</v>
      </c>
      <c r="E142" s="15" t="n">
        <v>2345</v>
      </c>
      <c r="F142" s="15" t="n">
        <v>2590</v>
      </c>
      <c r="G142" s="15" t="n">
        <v>3038</v>
      </c>
      <c r="H142" s="15" t="n"/>
    </row>
    <row r="143">
      <c r="A143" s="5" t="inlineStr">
        <is>
          <t>2025-11-17</t>
        </is>
      </c>
      <c r="B143" s="16" t="n">
        <v>16457</v>
      </c>
      <c r="C143" s="16" t="n">
        <v>20509</v>
      </c>
      <c r="D143" s="16" t="n">
        <v>23755</v>
      </c>
      <c r="E143" s="16" t="n">
        <v>2345</v>
      </c>
      <c r="F143" s="16" t="n">
        <v>2590</v>
      </c>
      <c r="G143" s="16" t="n">
        <v>3140</v>
      </c>
      <c r="H143" s="16" t="n"/>
    </row>
    <row r="144">
      <c r="A144" s="8" t="inlineStr">
        <is>
          <t>2025-11-24</t>
        </is>
      </c>
      <c r="B144" s="15" t="n">
        <v>16444</v>
      </c>
      <c r="C144" s="15" t="n">
        <v>20628</v>
      </c>
      <c r="D144" s="15" t="n">
        <v>23776</v>
      </c>
      <c r="E144" s="15" t="n">
        <v>2345</v>
      </c>
      <c r="F144" s="15" t="n">
        <v>2590</v>
      </c>
      <c r="G144" s="15" t="n">
        <v>3140</v>
      </c>
      <c r="H144" s="15" t="n"/>
    </row>
    <row r="145">
      <c r="A145" s="5" t="inlineStr">
        <is>
          <t>2025-12-01</t>
        </is>
      </c>
      <c r="B145" s="16" t="n">
        <v>16538</v>
      </c>
      <c r="C145" s="16" t="n">
        <v>20714</v>
      </c>
      <c r="D145" s="16" t="n">
        <v>23818</v>
      </c>
      <c r="E145" s="16" t="n">
        <v>2345</v>
      </c>
      <c r="F145" s="16" t="n">
        <v>2590</v>
      </c>
      <c r="G145" s="16" t="n">
        <v>3140</v>
      </c>
      <c r="H145" s="16" t="n"/>
    </row>
    <row r="146">
      <c r="A146" s="8" t="inlineStr">
        <is>
          <t>2025-12-08</t>
        </is>
      </c>
      <c r="B146" s="15" t="n">
        <v>16826</v>
      </c>
      <c r="C146" s="15" t="n">
        <v>20965</v>
      </c>
      <c r="D146" s="15" t="n">
        <v>24223</v>
      </c>
      <c r="E146" s="15" t="n">
        <v>2345</v>
      </c>
      <c r="F146" s="15" t="n">
        <v>2590</v>
      </c>
      <c r="G146" s="15" t="n">
        <v>3140</v>
      </c>
      <c r="H146" s="15" t="n"/>
    </row>
    <row r="147">
      <c r="A147" s="5" t="inlineStr">
        <is>
          <t>2025-12-15</t>
        </is>
      </c>
      <c r="B147" s="16" t="n">
        <v>16957</v>
      </c>
      <c r="C147" s="16" t="n">
        <v>21259</v>
      </c>
      <c r="D147" s="16" t="n">
        <v>24937</v>
      </c>
      <c r="E147" s="16" t="n">
        <v>2345</v>
      </c>
      <c r="F147" s="16" t="n">
        <v>2590</v>
      </c>
      <c r="G147" s="16" t="n">
        <v>3140</v>
      </c>
      <c r="H147" s="16" t="n"/>
    </row>
    <row r="148">
      <c r="A148" s="8" t="inlineStr">
        <is>
          <t>2025-12-22</t>
        </is>
      </c>
      <c r="B148" s="15" t="n">
        <v>16979</v>
      </c>
      <c r="C148" s="15" t="n">
        <v>21628</v>
      </c>
      <c r="D148" s="15" t="n">
        <v>25406</v>
      </c>
      <c r="E148" s="15" t="n">
        <v>2345</v>
      </c>
      <c r="F148" s="15" t="n">
        <v>2590</v>
      </c>
      <c r="G148" s="15" t="n">
        <v>3140</v>
      </c>
      <c r="H148" s="15" t="n"/>
    </row>
    <row r="149">
      <c r="A149" s="5" t="inlineStr">
        <is>
          <t>2025-12-30</t>
        </is>
      </c>
      <c r="B149" s="16" t="n">
        <v>17252</v>
      </c>
      <c r="C149" s="16" t="n">
        <v>22180</v>
      </c>
      <c r="D149" s="16" t="n">
        <v>25791</v>
      </c>
      <c r="E149" s="16" t="n">
        <v>2345</v>
      </c>
      <c r="F149" s="16" t="n">
        <v>2590</v>
      </c>
      <c r="G149" s="16" t="n">
        <v>3140</v>
      </c>
      <c r="H149" s="16" t="n"/>
    </row>
    <row r="150">
      <c r="A150" s="8" t="inlineStr">
        <is>
          <t>2026-01-05</t>
        </is>
      </c>
      <c r="B150" s="15" t="n">
        <v>17343</v>
      </c>
      <c r="C150" s="15" t="n">
        <v>22685</v>
      </c>
      <c r="D150" s="15" t="n">
        <v>26206</v>
      </c>
      <c r="E150" s="15" t="n">
        <v>2345</v>
      </c>
      <c r="F150" s="15" t="n">
        <v>2590</v>
      </c>
      <c r="G150" s="15" t="n">
        <v>3140</v>
      </c>
      <c r="H150" s="15" t="n"/>
    </row>
    <row r="151">
      <c r="A151" s="5" t="inlineStr">
        <is>
          <t>2026-01-12</t>
        </is>
      </c>
      <c r="B151" s="16" t="n">
        <v>18073</v>
      </c>
      <c r="C151" s="16" t="n">
        <v>23472</v>
      </c>
      <c r="D151" s="16" t="n">
        <v>27198</v>
      </c>
      <c r="E151" s="16" t="n">
        <v>2345</v>
      </c>
      <c r="F151" s="16" t="n">
        <v>2590</v>
      </c>
      <c r="G151" s="16" t="n">
        <v>3140</v>
      </c>
      <c r="H151" s="16" t="n"/>
    </row>
    <row r="152">
      <c r="A152" s="8" t="inlineStr">
        <is>
          <t>2026-01-19</t>
        </is>
      </c>
      <c r="B152" s="15" t="n">
        <v>18484</v>
      </c>
      <c r="C152" s="15" t="n">
        <v>23976</v>
      </c>
      <c r="D152" s="15" t="n">
        <v>27935</v>
      </c>
      <c r="E152" s="15" t="n">
        <v>2345</v>
      </c>
      <c r="F152" s="15" t="n">
        <v>2590</v>
      </c>
      <c r="G152" s="15" t="n">
        <v>3140</v>
      </c>
      <c r="H152" s="15" t="n"/>
    </row>
    <row r="153">
      <c r="A153" s="5" t="inlineStr">
        <is>
          <t>2026-01-26</t>
        </is>
      </c>
      <c r="B153" s="16" t="n">
        <v>18849</v>
      </c>
      <c r="C153" s="16" t="n">
        <v>24172</v>
      </c>
      <c r="D153" s="16" t="n">
        <v>28287</v>
      </c>
      <c r="E153" s="16" t="n">
        <v>2345</v>
      </c>
      <c r="F153" s="16" t="n">
        <v>2590</v>
      </c>
      <c r="G153" s="16" t="n">
        <v>3140</v>
      </c>
      <c r="H153" s="16" t="n"/>
    </row>
    <row r="154">
      <c r="A154" s="8" t="inlineStr">
        <is>
          <t>2026-02-02</t>
        </is>
      </c>
      <c r="B154" s="15" t="n">
        <v>18919</v>
      </c>
      <c r="C154" s="15" t="n">
        <v>24254</v>
      </c>
      <c r="D154" s="15" t="n">
        <v>28525</v>
      </c>
      <c r="E154" s="15" t="n">
        <v>2345</v>
      </c>
      <c r="F154" s="15" t="n">
        <v>2590</v>
      </c>
      <c r="G154" s="15" t="n">
        <v>3140</v>
      </c>
      <c r="H154" s="15" t="n"/>
    </row>
    <row r="155">
      <c r="A155" s="5" t="inlineStr">
        <is>
          <t>2026-02-09</t>
        </is>
      </c>
      <c r="B155" s="16" t="n">
        <v>19314</v>
      </c>
      <c r="C155" s="16" t="n">
        <v>24726</v>
      </c>
      <c r="D155" s="16" t="n">
        <v>28926</v>
      </c>
      <c r="E155" s="16" t="n">
        <v>2345</v>
      </c>
      <c r="F155" s="16" t="n">
        <v>2590</v>
      </c>
      <c r="G155" s="16" t="n">
        <v>3140</v>
      </c>
      <c r="H155" s="16" t="n"/>
    </row>
    <row r="156">
      <c r="A156" s="8" t="inlineStr">
        <is>
          <t>2026-02-23</t>
        </is>
      </c>
      <c r="B156" s="15" t="n">
        <v>19314</v>
      </c>
      <c r="C156" s="15" t="n">
        <v>24765</v>
      </c>
      <c r="D156" s="15" t="n">
        <v>28986</v>
      </c>
      <c r="E156" s="15" t="n">
        <v>2345</v>
      </c>
      <c r="F156" s="15" t="n">
        <v>2590</v>
      </c>
      <c r="G156" s="15" t="n">
        <v>3140</v>
      </c>
      <c r="H156" s="15" t="n"/>
    </row>
    <row r="157">
      <c r="A157" s="5" t="inlineStr">
        <is>
          <t>2026-03-02</t>
        </is>
      </c>
      <c r="B157" s="16" t="n">
        <v>20303</v>
      </c>
      <c r="C157" s="16" t="n">
        <v>25306</v>
      </c>
      <c r="D157" s="16" t="n">
        <v>29352</v>
      </c>
      <c r="E157" s="16" t="n">
        <v>2345</v>
      </c>
      <c r="F157" s="16" t="n">
        <v>2590</v>
      </c>
      <c r="G157" s="16" t="n">
        <v>3140</v>
      </c>
      <c r="H157" s="16" t="n"/>
    </row>
    <row r="158">
      <c r="A158" s="8" t="inlineStr">
        <is>
          <t>2026-03-09</t>
        </is>
      </c>
      <c r="B158" s="15" t="n">
        <v>21197</v>
      </c>
      <c r="C158" s="15" t="n">
        <v>25841</v>
      </c>
      <c r="D158" s="15" t="n">
        <v>29612</v>
      </c>
      <c r="E158" s="15" t="n">
        <v>2345</v>
      </c>
      <c r="F158" s="15" t="n">
        <v>2590</v>
      </c>
      <c r="G158" s="15" t="n">
        <v>3140</v>
      </c>
      <c r="H158" s="15" t="n"/>
    </row>
    <row r="159">
      <c r="A159" s="5" t="inlineStr">
        <is>
          <t>2026-03-16</t>
        </is>
      </c>
      <c r="B159" s="16" t="n">
        <v>21185</v>
      </c>
      <c r="C159" s="16" t="n">
        <v>26285</v>
      </c>
      <c r="D159" s="16" t="n">
        <v>30179</v>
      </c>
      <c r="E159" s="16" t="n">
        <v>2345</v>
      </c>
      <c r="F159" s="16" t="n">
        <v>2590</v>
      </c>
      <c r="G159" s="16" t="n">
        <v>3140</v>
      </c>
      <c r="H159" s="16" t="n"/>
    </row>
    <row r="160">
      <c r="A160" s="8" t="inlineStr">
        <is>
          <t>2026-03-23</t>
        </is>
      </c>
      <c r="B160" s="15" t="n">
        <v>21435</v>
      </c>
      <c r="C160" s="15" t="n">
        <v>26515</v>
      </c>
      <c r="D160" s="15" t="n">
        <v>30417</v>
      </c>
      <c r="E160" s="15" t="n">
        <v>2345</v>
      </c>
      <c r="F160" s="15" t="n">
        <v>2590</v>
      </c>
      <c r="G160" s="15" t="n">
        <v>3140</v>
      </c>
      <c r="H160" s="15" t="n"/>
    </row>
    <row r="161">
      <c r="A161" s="5" t="inlineStr">
        <is>
          <t>2026-03-30</t>
        </is>
      </c>
      <c r="B161" s="16" t="n">
        <v>21984</v>
      </c>
      <c r="C161" s="16" t="n">
        <v>26976</v>
      </c>
      <c r="D161" s="16" t="n">
        <v>30887</v>
      </c>
      <c r="E161" s="16" t="n">
        <v>2345</v>
      </c>
      <c r="F161" s="16" t="n">
        <v>2590</v>
      </c>
      <c r="G161" s="16" t="n">
        <v>3447</v>
      </c>
      <c r="H161" s="16" t="n"/>
    </row>
    <row r="162">
      <c r="A162" s="8" t="inlineStr">
        <is>
          <t>2026-04-06</t>
        </is>
      </c>
      <c r="B162" s="15" t="n">
        <v>23724</v>
      </c>
      <c r="C162" s="15" t="n">
        <v>28328</v>
      </c>
      <c r="D162" s="15" t="n">
        <v>31819</v>
      </c>
      <c r="E162" s="15" t="n"/>
      <c r="F162" s="15" t="n">
        <v>2590</v>
      </c>
      <c r="G162" s="15" t="n">
        <v>3987</v>
      </c>
      <c r="H162" s="15" t="n">
        <v>2970</v>
      </c>
    </row>
    <row r="163">
      <c r="A163" s="5" t="inlineStr">
        <is>
          <t>2026-04-13</t>
        </is>
      </c>
      <c r="B163" s="16" t="n">
        <v>24984</v>
      </c>
      <c r="C163" s="16" t="n">
        <v>28545</v>
      </c>
      <c r="D163" s="16" t="n">
        <v>32733</v>
      </c>
      <c r="E163" s="16" t="n"/>
      <c r="F163" s="16" t="n">
        <v>2590</v>
      </c>
      <c r="G163" s="16" t="n">
        <v>4335</v>
      </c>
      <c r="H163" s="16" t="n">
        <v>2970</v>
      </c>
    </row>
    <row r="164">
      <c r="A164" s="8" t="inlineStr">
        <is>
          <t>2026-04-20</t>
        </is>
      </c>
      <c r="B164" s="15" t="n">
        <v>25483</v>
      </c>
      <c r="C164" s="15" t="n">
        <v>28913</v>
      </c>
      <c r="D164" s="15" t="n">
        <v>33802</v>
      </c>
      <c r="E164" s="15" t="n"/>
      <c r="F164" s="15" t="n">
        <v>2590</v>
      </c>
      <c r="G164" s="15" t="n">
        <v>4335</v>
      </c>
      <c r="H164" s="15" t="n">
        <v>2970</v>
      </c>
    </row>
    <row r="165">
      <c r="A165" s="5" t="inlineStr">
        <is>
          <t>2026-04-27</t>
        </is>
      </c>
      <c r="B165" s="16" t="n">
        <v>25729</v>
      </c>
      <c r="C165" s="16" t="n">
        <v>29880</v>
      </c>
      <c r="D165" s="16" t="n">
        <v>34707</v>
      </c>
      <c r="E165" s="16" t="n"/>
      <c r="F165" s="16" t="n">
        <v>2590</v>
      </c>
      <c r="G165" s="16" t="n">
        <v>4335</v>
      </c>
      <c r="H165" s="16" t="n">
        <v>2970</v>
      </c>
    </row>
    <row r="166">
      <c r="A166" s="8" t="inlineStr">
        <is>
          <t>2026-05-04</t>
        </is>
      </c>
      <c r="B166" s="15" t="n">
        <v>26337</v>
      </c>
      <c r="C166" s="15" t="n">
        <v>30521</v>
      </c>
      <c r="D166" s="15" t="n">
        <v>35436</v>
      </c>
      <c r="E166" s="15" t="n"/>
      <c r="F166" s="15" t="n">
        <v>2590</v>
      </c>
      <c r="G166" s="15" t="n">
        <v>4335</v>
      </c>
      <c r="H166" s="15" t="n">
        <v>2926</v>
      </c>
    </row>
    <row r="167">
      <c r="A167" s="5" t="inlineStr">
        <is>
          <t>2026-05-11</t>
        </is>
      </c>
      <c r="B167" s="16" t="n">
        <v>26506</v>
      </c>
      <c r="C167" s="16" t="n">
        <v>30820</v>
      </c>
      <c r="D167" s="16" t="n">
        <v>35848</v>
      </c>
      <c r="E167" s="16" t="n"/>
      <c r="F167" s="16" t="n">
        <v>2590</v>
      </c>
      <c r="G167" s="16" t="n">
        <v>4335</v>
      </c>
      <c r="H167" s="16" t="n">
        <v>2780</v>
      </c>
    </row>
    <row r="168">
      <c r="A168" s="8" t="inlineStr">
        <is>
          <t>2026-05-18</t>
        </is>
      </c>
      <c r="B168" s="15" t="n">
        <v>26740</v>
      </c>
      <c r="C168" s="15" t="n">
        <v>31474</v>
      </c>
      <c r="D168" s="15" t="n">
        <v>36669</v>
      </c>
      <c r="E168" s="15" t="n"/>
      <c r="F168" s="15" t="n">
        <v>2590</v>
      </c>
      <c r="G168" s="15" t="n">
        <v>4335</v>
      </c>
      <c r="H168" s="15" t="n">
        <v>2780</v>
      </c>
    </row>
    <row r="169">
      <c r="A169" s="5" t="inlineStr">
        <is>
          <t>2026-05-25</t>
        </is>
      </c>
      <c r="B169" s="16" t="n">
        <v>26651</v>
      </c>
      <c r="C169" s="16" t="n">
        <v>32329</v>
      </c>
      <c r="D169" s="16" t="n">
        <v>37101</v>
      </c>
      <c r="E169" s="16" t="n"/>
      <c r="F169" s="16" t="n">
        <v>2590</v>
      </c>
      <c r="G169" s="16" t="n">
        <v>4335</v>
      </c>
      <c r="H169" s="16" t="n">
        <v>2780</v>
      </c>
    </row>
    <row r="170">
      <c r="A170" s="8" t="inlineStr">
        <is>
          <t>2026-06-02</t>
        </is>
      </c>
      <c r="B170" s="15" t="n">
        <v>27666</v>
      </c>
      <c r="C170" s="15" t="n">
        <v>33742</v>
      </c>
      <c r="D170" s="15" t="n">
        <v>37835</v>
      </c>
      <c r="E170" s="15" t="n"/>
      <c r="F170" s="15" t="n">
        <v>2590</v>
      </c>
      <c r="G170" s="15" t="n">
        <v>4335</v>
      </c>
      <c r="H170" s="15" t="n">
        <v>2780</v>
      </c>
    </row>
    <row r="171">
      <c r="A171" s="5" t="inlineStr">
        <is>
          <t>2026-06-08</t>
        </is>
      </c>
      <c r="B171" s="16" t="n">
        <v>27763</v>
      </c>
      <c r="C171" s="16" t="n">
        <v>33883</v>
      </c>
      <c r="D171" s="16" t="n">
        <v>38210</v>
      </c>
      <c r="E171" s="16" t="n"/>
      <c r="F171" s="16" t="n">
        <v>2590</v>
      </c>
      <c r="G171" s="16" t="n">
        <v>4335</v>
      </c>
      <c r="H171" s="16" t="n">
        <v>2967</v>
      </c>
    </row>
    <row r="172">
      <c r="A172" s="8" t="inlineStr">
        <is>
          <t>2026-06-15</t>
        </is>
      </c>
      <c r="B172" s="15" t="n">
        <v>27413</v>
      </c>
      <c r="C172" s="15" t="n">
        <v>33883</v>
      </c>
      <c r="D172" s="15" t="n">
        <v>38125</v>
      </c>
      <c r="E172" s="15" t="n"/>
      <c r="F172" s="15" t="n">
        <v>2590</v>
      </c>
      <c r="G172" s="15" t="n">
        <v>4335</v>
      </c>
      <c r="H172" s="15" t="n">
        <v>2960</v>
      </c>
    </row>
    <row r="173">
      <c r="A173" s="5" t="inlineStr">
        <is>
          <t>2026-06-22</t>
        </is>
      </c>
      <c r="B173" s="16" t="n">
        <v>27850</v>
      </c>
      <c r="C173" s="16" t="n">
        <v>34222</v>
      </c>
      <c r="D173" s="16" t="n">
        <v>38619</v>
      </c>
      <c r="E173" s="16" t="n"/>
      <c r="F173" s="16" t="n">
        <v>2590</v>
      </c>
      <c r="G173" s="16" t="n">
        <v>4335</v>
      </c>
      <c r="H173" s="16" t="n">
        <v>2960</v>
      </c>
    </row>
    <row r="174">
      <c r="A174" s="8" t="inlineStr">
        <is>
          <t>2026-06-29</t>
        </is>
      </c>
      <c r="B174" s="15" t="n">
        <v>27706</v>
      </c>
      <c r="C174" s="15" t="n">
        <v>33882</v>
      </c>
      <c r="D174" s="15" t="n">
        <v>38585</v>
      </c>
      <c r="E174" s="15" t="n"/>
      <c r="F174" s="15" t="n">
        <v>2590</v>
      </c>
      <c r="G174" s="15" t="n">
        <v>4335</v>
      </c>
      <c r="H174" s="15" t="n">
        <v>2960</v>
      </c>
    </row>
    <row r="175">
      <c r="A175" s="5" t="inlineStr">
        <is>
          <t>2026-07-06</t>
        </is>
      </c>
      <c r="B175" s="16" t="n">
        <v>27668</v>
      </c>
      <c r="C175" s="16" t="n">
        <v>33772</v>
      </c>
      <c r="D175" s="16" t="n">
        <v>38500</v>
      </c>
      <c r="E175" s="16" t="n"/>
      <c r="F175" s="16" t="n">
        <v>2590</v>
      </c>
      <c r="G175" s="16" t="n">
        <v>4335</v>
      </c>
      <c r="H175" s="16" t="n">
        <v>3039</v>
      </c>
    </row>
    <row r="176">
      <c r="A176" s="8" t="inlineStr">
        <is>
          <t>2026-07-20</t>
        </is>
      </c>
      <c r="B176" s="15" t="n">
        <v>27798</v>
      </c>
      <c r="C176" s="15" t="n">
        <v>33685</v>
      </c>
      <c r="D176" s="15" t="n">
        <v>38504</v>
      </c>
      <c r="E176" s="15" t="n"/>
      <c r="F176" s="15" t="n">
        <v>2840</v>
      </c>
      <c r="G176" s="15" t="n">
        <v>4185</v>
      </c>
      <c r="H176" s="15" t="n">
        <v>3121</v>
      </c>
    </row>
    <row r="177">
      <c r="A177" s="5" t="inlineStr">
        <is>
          <t>2026-07-27</t>
        </is>
      </c>
      <c r="B177" s="16" t="n">
        <v>27417</v>
      </c>
      <c r="C177" s="16" t="n">
        <v>32470</v>
      </c>
      <c r="D177" s="16" t="n">
        <v>37878</v>
      </c>
      <c r="E177" s="16" t="n"/>
      <c r="F177" s="16" t="n">
        <v>2840</v>
      </c>
      <c r="G177" s="16" t="n">
        <v>4185</v>
      </c>
      <c r="H177" s="16" t="n">
        <v>3121</v>
      </c>
    </row>
    <row r="178">
      <c r="A178" s="8" t="inlineStr">
        <is>
          <t>2026-08-03</t>
        </is>
      </c>
      <c r="B178" s="15" t="n">
        <v>27342</v>
      </c>
      <c r="C178" s="15" t="n">
        <v>32520</v>
      </c>
      <c r="D178" s="15" t="n">
        <v>37767</v>
      </c>
      <c r="E178" s="15" t="n"/>
      <c r="F178" s="15" t="n">
        <v>2840</v>
      </c>
      <c r="G178" s="15" t="n">
        <v>4185</v>
      </c>
      <c r="H178" s="15" t="n">
        <v>3121</v>
      </c>
    </row>
    <row r="179">
      <c r="A179" s="5" t="inlineStr">
        <is>
          <t>2026-08-10</t>
        </is>
      </c>
      <c r="B179" s="16" t="n">
        <v>27063</v>
      </c>
      <c r="C179" s="16" t="n">
        <v>32230</v>
      </c>
      <c r="D179" s="16" t="n">
        <v>37223</v>
      </c>
      <c r="E179" s="16" t="n"/>
      <c r="F179" s="16" t="n">
        <v>2840</v>
      </c>
      <c r="G179" s="16" t="n">
        <v>4185</v>
      </c>
      <c r="H179" s="16" t="n">
        <v>3121</v>
      </c>
    </row>
    <row r="180">
      <c r="A180" s="8" t="inlineStr">
        <is>
          <t>2026-08-17</t>
        </is>
      </c>
      <c r="B180" s="15" t="n">
        <v>26152</v>
      </c>
      <c r="C180" s="15" t="n">
        <v>31680</v>
      </c>
      <c r="D180" s="15" t="n">
        <v>36611</v>
      </c>
      <c r="E180" s="15" t="n"/>
      <c r="F180" s="15" t="n">
        <v>3040</v>
      </c>
      <c r="G180" s="15" t="n">
        <v>4185</v>
      </c>
      <c r="H180" s="15" t="n">
        <v>3121</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4"/>
  <sheetViews>
    <sheetView workbookViewId="0">
      <pane ySplit="3" topLeftCell="A4" activePane="bottomLeft" state="frozen"/>
      <selection pane="bottomLeft" activeCell="A1" sqref="A1"/>
    </sheetView>
  </sheetViews>
  <sheetFormatPr baseColWidth="8" defaultRowHeight="15"/>
  <sheetData>
    <row r="1">
      <c r="A1" s="1" t="inlineStr">
        <is>
          <t>IMF World Economic Outlook — төсөөлөл (projections)</t>
        </is>
      </c>
    </row>
    <row r="2">
      <c r="A2" s="2" t="inlineStr">
        <is>
          <t>ТӨСӨӨЛӨЛ, ХЭМЖИЛТ БИШ / PROJECTIONS, NOT MEASUREMENTS. Annual figures from the IMF's twice-yearly World Economic Outlook. Every other sheet in this workbook measures what happened; this one states what the IMF expects. Never present a figure from this sheet as an outturn.</t>
        </is>
      </c>
    </row>
    <row r="4">
      <c r="A4" s="5" t="inlineStr">
        <is>
          <t>No IMF WEO export cached — drop the CSV from imf.org into raw_data/ (any name containing 'WEO').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34" customWidth="1" min="1" max="1"/>
    <col width="14" customWidth="1" min="2" max="2"/>
    <col width="12" customWidth="1" min="3" max="3"/>
    <col width="40" customWidth="1" min="4" max="4"/>
  </cols>
  <sheetData>
    <row r="1">
      <c r="A1" s="1" t="inlineStr">
        <is>
          <t>State budget</t>
        </is>
      </c>
    </row>
    <row r="2">
      <c r="A2" s="2" t="inlineStr">
        <is>
          <t>Deck slide 13. Source: Mongolbank statistical bulletin. Coal actual links to the Commodities sheet.</t>
        </is>
      </c>
    </row>
    <row r="4">
      <c r="A4" s="6" t="inlineStr">
        <is>
          <t>МЭДЭЭЛЛИЙН ОН САР / DATA AS OF:  Mongolbank bulletin — 2026-07 (CURRENT)      [тайлант үе / reported month: 2026-07]</t>
        </is>
      </c>
    </row>
    <row r="6">
      <c r="A6" s="3" t="inlineStr">
        <is>
          <t>Үзүүлэлт (Indicator)</t>
        </is>
      </c>
      <c r="B6" s="3" t="inlineStr">
        <is>
          <t>Утга (Value)</t>
        </is>
      </c>
      <c r="C6" s="3" t="inlineStr">
        <is>
          <t>Нэгж (Unit)</t>
        </is>
      </c>
      <c r="D6" s="3" t="inlineStr">
        <is>
          <t>Note</t>
        </is>
      </c>
    </row>
    <row r="7">
      <c r="A7" s="4" t="inlineStr">
        <is>
          <t>Төсвийн тэнцэл (Budget balance, cumulative)</t>
        </is>
      </c>
      <c r="B7" s="16" t="n">
        <v>-2206.4</v>
      </c>
      <c r="C7" s="5" t="inlineStr">
        <is>
          <t>bln MNT</t>
        </is>
      </c>
      <c r="D7" s="5" t="inlineStr">
        <is>
          <t>Mongolbank bulletin (mongolbank_bulletin.xlsx)</t>
        </is>
      </c>
    </row>
    <row r="8">
      <c r="A8" s="4" t="inlineStr">
        <is>
          <t>Төсвийн орлого, гүйцэтгэл (Revenue collected, cumulative)</t>
        </is>
      </c>
      <c r="B8" s="16" t="n">
        <v>19829.8</v>
      </c>
      <c r="C8" s="5" t="inlineStr">
        <is>
          <t>bln MNT</t>
        </is>
      </c>
      <c r="D8" s="5" t="inlineStr">
        <is>
          <t>Mongolbank bulletin (mongolbank_bulletin.xlsx)</t>
        </is>
      </c>
    </row>
    <row r="9">
      <c r="A9" s="4" t="inlineStr">
        <is>
          <t>Төсвийн зарлага, гүйцэтгэл (Expenditure, cumulative)</t>
        </is>
      </c>
      <c r="B9" s="16" t="n">
        <v>19507.2</v>
      </c>
      <c r="C9" s="5" t="inlineStr">
        <is>
          <t>bln MNT</t>
        </is>
      </c>
      <c r="D9" s="5" t="inlineStr">
        <is>
          <t>Mongolbank bulletin (mongolbank_bulletin.xlsx)</t>
        </is>
      </c>
    </row>
    <row r="10">
      <c r="A10" s="4" t="inlineStr">
        <is>
          <t>Төсвийн орлого, төлөвлөгөө (Revenue plan, annual)</t>
        </is>
      </c>
      <c r="B10" s="35" t="n"/>
      <c r="C10" s="5" t="inlineStr">
        <is>
          <t>tln MNT</t>
        </is>
      </c>
      <c r="D10" s="5" t="inlineStr">
        <is>
          <t>MANUAL: annual plan figure, set once a year</t>
        </is>
      </c>
    </row>
    <row r="11">
      <c r="A11" s="4" t="inlineStr">
        <is>
          <t>Нүүрсний экспортын төлөвлөгөө (Coal export plan, annual)</t>
        </is>
      </c>
      <c r="B11" s="35" t="n"/>
      <c r="C11" s="5" t="inlineStr">
        <is>
          <t>mln t</t>
        </is>
      </c>
      <c r="D11" s="5" t="inlineStr">
        <is>
          <t>MANUAL: annual plan figure, set once a year</t>
        </is>
      </c>
    </row>
    <row r="12">
      <c r="A12" s="4" t="inlineStr">
        <is>
          <t>Нүүрсний экспорт, гүйцэтгэл (Coal export actual)</t>
        </is>
      </c>
      <c r="B12" s="22">
        <f>IFERROR(Commodities!D7/1E9,"")</f>
        <v/>
      </c>
      <c r="C12" s="5" t="inlineStr">
        <is>
          <t>mln t</t>
        </is>
      </c>
      <c r="D12" s="5" t="inlineStr">
        <is>
          <t>2026 оны 7-р сарын байдлаар</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8" customWidth="1" min="1" max="1"/>
    <col width="34" customWidth="1" min="2" max="2"/>
    <col width="10" customWidth="1" min="3" max="3"/>
    <col width="16" customWidth="1" min="4" max="4"/>
    <col width="52" customWidth="1" min="5" max="5"/>
  </cols>
  <sheetData>
    <row r="1">
      <c r="A1" s="1" t="inlineStr">
        <is>
          <t>Deck coverage — what this workbook automates</t>
        </is>
      </c>
    </row>
    <row r="2">
      <c r="A2" s="2" t="inlineStr">
        <is>
          <t>AUTO = filled by pipeline | MISSING = source not yet wired (see note) | MANUAL = can never be data-driven.</t>
        </is>
      </c>
    </row>
    <row r="4">
      <c r="A4" s="11" t="inlineStr">
        <is>
          <t>МЭДЭЭЛЛИЙН ОН САР / DATA AS OF:  энэ хуудас бүтэц, тоо биш (this sheet is structure, not data).      [тайлант үе / reported month: 2026-07]</t>
        </is>
      </c>
    </row>
    <row r="6">
      <c r="A6" s="3" t="inlineStr">
        <is>
          <t>Slide</t>
        </is>
      </c>
      <c r="B6" s="3" t="inlineStr">
        <is>
          <t>Content</t>
        </is>
      </c>
      <c r="C6" s="3" t="inlineStr">
        <is>
          <t>Status</t>
        </is>
      </c>
      <c r="D6" s="3" t="inlineStr">
        <is>
          <t>Source</t>
        </is>
      </c>
      <c r="E6" s="3" t="inlineStr">
        <is>
          <t>Note</t>
        </is>
      </c>
    </row>
    <row r="7">
      <c r="A7" s="5" t="n">
        <v>1</v>
      </c>
      <c r="B7" s="5" t="inlineStr">
        <is>
          <t>Title / date</t>
        </is>
      </c>
      <c r="C7" s="6" t="inlineStr">
        <is>
          <t>AUTO</t>
        </is>
      </c>
      <c r="D7" s="5" t="inlineStr">
        <is>
          <t>pipeline</t>
        </is>
      </c>
      <c r="E7" s="5" t="inlineStr">
        <is>
          <t>report_period string</t>
        </is>
      </c>
    </row>
    <row r="8">
      <c r="A8" s="5" t="n">
        <v>2</v>
      </c>
      <c r="B8" s="5" t="inlineStr">
        <is>
          <t>Geopolitics</t>
        </is>
      </c>
      <c r="C8" s="11" t="inlineStr">
        <is>
          <t>MANUAL</t>
        </is>
      </c>
      <c r="D8" s="5" t="inlineStr">
        <is>
          <t>-</t>
        </is>
      </c>
      <c r="E8" s="5" t="inlineStr">
        <is>
          <t>editorial; no data feed</t>
        </is>
      </c>
    </row>
    <row r="9">
      <c r="A9" s="5" t="n">
        <v>3</v>
      </c>
      <c r="B9" s="5" t="inlineStr">
        <is>
          <t>Macro forecast snapshot</t>
        </is>
      </c>
      <c r="C9" s="6" t="inlineStr">
        <is>
          <t>AUTO</t>
        </is>
      </c>
      <c r="D9" s="5" t="inlineStr">
        <is>
          <t>Bulletin+NSO+MB</t>
        </is>
      </c>
      <c r="E9" s="5" t="inlineStr">
        <is>
          <t>policy rate auto</t>
        </is>
      </c>
    </row>
    <row r="10">
      <c r="A10" s="5" t="n">
        <v>4</v>
      </c>
      <c r="B10" s="5" t="inlineStr">
        <is>
          <t>Real GDP cumulative growth</t>
        </is>
      </c>
      <c r="C10" s="6" t="inlineStr">
        <is>
          <t>AUTO</t>
        </is>
      </c>
      <c r="D10" s="5" t="inlineStr">
        <is>
          <t>NSO</t>
        </is>
      </c>
      <c r="E10" s="5" t="inlineStr"/>
    </row>
    <row r="11">
      <c r="A11" s="5" t="n">
        <v>5</v>
      </c>
      <c r="B11" s="5" t="inlineStr">
        <is>
          <t>Sector contributions</t>
        </is>
      </c>
      <c r="C11" s="6" t="inlineStr">
        <is>
          <t>AUTO</t>
        </is>
      </c>
      <c r="D11" s="5" t="inlineStr">
        <is>
          <t>NSO</t>
        </is>
      </c>
      <c r="E11" s="5" t="inlineStr">
        <is>
          <t>NSO table has 10 aggregated sectors</t>
        </is>
      </c>
    </row>
    <row r="12">
      <c r="A12" s="5" t="n">
        <v>6</v>
      </c>
      <c r="B12" s="5" t="inlineStr">
        <is>
          <t>Inflation vs target</t>
        </is>
      </c>
      <c r="C12" s="6" t="inlineStr">
        <is>
          <t>AUTO</t>
        </is>
      </c>
      <c r="D12" s="5" t="inlineStr">
        <is>
          <t>MB bulletin</t>
        </is>
      </c>
      <c r="E12" s="5" t="inlineStr">
        <is>
          <t>headline + 16-month national/UB CPI series, all auto</t>
        </is>
      </c>
    </row>
    <row r="13">
      <c r="A13" s="5" t="n">
        <v>7</v>
      </c>
      <c r="B13" s="5" t="inlineStr">
        <is>
          <t>Meat &amp; fuel prices</t>
        </is>
      </c>
      <c r="C13" s="11" t="inlineStr">
        <is>
          <t>MANUAL</t>
        </is>
      </c>
      <c r="D13" s="5" t="inlineStr">
        <is>
          <t>NSO CPI PDF</t>
        </is>
      </c>
      <c r="E13" s="5" t="inlineStr">
        <is>
          <t>by decision (2026-07): heavy PDF parsing not worth automating; enter values by hand</t>
        </is>
      </c>
    </row>
    <row r="14">
      <c r="A14" s="5" t="n">
        <v>8</v>
      </c>
      <c r="B14" s="5" t="inlineStr">
        <is>
          <t>Inflation -&gt; interest rates</t>
        </is>
      </c>
      <c r="C14" s="6" t="inlineStr">
        <is>
          <t>AUTO</t>
        </is>
      </c>
      <c r="D14" s="5" t="inlineStr">
        <is>
          <t>MB bulletin</t>
        </is>
      </c>
      <c r="E14" s="5" t="inlineStr">
        <is>
          <t>policy &amp; deposit rate monthly series + CPI, all auto</t>
        </is>
      </c>
    </row>
    <row r="15">
      <c r="A15" s="5" t="n">
        <v>9</v>
      </c>
      <c r="B15" s="5" t="inlineStr">
        <is>
          <t>Trade balance &amp; commodities</t>
        </is>
      </c>
      <c r="C15" s="6" t="inlineStr">
        <is>
          <t>AUTO</t>
        </is>
      </c>
      <c r="D15" s="5" t="inlineStr">
        <is>
          <t>Customs</t>
        </is>
      </c>
      <c r="E15" s="5" t="inlineStr"/>
    </row>
    <row r="16">
      <c r="A16" s="5" t="n">
        <v>10</v>
      </c>
      <c r="B16" s="5" t="inlineStr">
        <is>
          <t>Export volumes</t>
        </is>
      </c>
      <c r="C16" s="6" t="inlineStr">
        <is>
          <t>AUTO</t>
        </is>
      </c>
      <c r="D16" s="5" t="inlineStr">
        <is>
          <t>Customs</t>
        </is>
      </c>
      <c r="E16" s="5" t="inlineStr"/>
    </row>
    <row r="17">
      <c r="A17" s="5" t="n">
        <v>11</v>
      </c>
      <c r="B17" s="5" t="inlineStr">
        <is>
          <t>Border prices</t>
        </is>
      </c>
      <c r="C17" s="6" t="inlineStr">
        <is>
          <t>AUTO</t>
        </is>
      </c>
      <c r="D17" s="5" t="inlineStr">
        <is>
          <t>Customs</t>
        </is>
      </c>
      <c r="E17" s="5" t="inlineStr">
        <is>
          <t>monthly marginal unit values</t>
        </is>
      </c>
    </row>
    <row r="18">
      <c r="A18" s="5" t="n">
        <v>12</v>
      </c>
      <c r="B18" s="5" t="inlineStr">
        <is>
          <t>Balance of payments</t>
        </is>
      </c>
      <c r="C18" s="6" t="inlineStr">
        <is>
          <t>AUTO</t>
        </is>
      </c>
      <c r="D18" s="5" t="inlineStr">
        <is>
          <t>Mongolbank</t>
        </is>
      </c>
      <c r="E18" s="5" t="inlineStr">
        <is>
          <t>CA/KA/FA parsed from bop_manual.xlsx</t>
        </is>
      </c>
    </row>
    <row r="19">
      <c r="A19" s="5" t="n">
        <v>13</v>
      </c>
      <c r="B19" s="5" t="inlineStr">
        <is>
          <t>State budget</t>
        </is>
      </c>
      <c r="C19" s="6" t="inlineStr">
        <is>
          <t>AUTO</t>
        </is>
      </c>
      <c r="D19" s="5" t="inlineStr">
        <is>
          <t>MB bulletin</t>
        </is>
      </c>
      <c r="E19" s="5" t="inlineStr"/>
    </row>
    <row r="20">
      <c r="A20" s="5" t="n">
        <v>14</v>
      </c>
      <c r="B20" s="5" t="inlineStr">
        <is>
          <t>Household income/expense</t>
        </is>
      </c>
      <c r="C20" s="34" t="inlineStr">
        <is>
          <t>MISSING</t>
        </is>
      </c>
      <c r="D20" s="5" t="inlineStr">
        <is>
          <t>NSO</t>
        </is>
      </c>
      <c r="E20" s="5" t="inlineStr">
        <is>
          <t>needs Household Socio-Economic Survey table id</t>
        </is>
      </c>
    </row>
    <row r="21">
      <c r="A21" s="5" t="n">
        <v>15</v>
      </c>
      <c r="B21" s="5" t="inlineStr">
        <is>
          <t>Household debt</t>
        </is>
      </c>
      <c r="C21" s="34" t="inlineStr">
        <is>
          <t>MISSING</t>
        </is>
      </c>
      <c r="D21" s="5" t="inlineStr">
        <is>
          <t>NSO</t>
        </is>
      </c>
      <c r="E21" s="5" t="inlineStr">
        <is>
          <t>same survey table</t>
        </is>
      </c>
    </row>
    <row r="22">
      <c r="A22" s="5" t="n">
        <v>16</v>
      </c>
      <c r="B22" s="5" t="inlineStr">
        <is>
          <t>Banking sector</t>
        </is>
      </c>
      <c r="C22" s="6" t="inlineStr">
        <is>
          <t>AUTO</t>
        </is>
      </c>
      <c r="D22" s="5" t="inlineStr">
        <is>
          <t>Mongolbank</t>
        </is>
      </c>
      <c r="E22" s="5" t="inlineStr">
        <is>
          <t>balance-sheet xlsx parsed: assets, loans, CB securities, deposits, past-due, NPL, equity + monthly series</t>
        </is>
      </c>
    </row>
    <row r="23">
      <c r="A23" s="5" t="n">
        <v>17</v>
      </c>
      <c r="B23" s="5" t="inlineStr">
        <is>
          <t>Moody's slides (17-22)</t>
        </is>
      </c>
      <c r="C23" s="11" t="inlineStr">
        <is>
          <t>MANUAL</t>
        </is>
      </c>
      <c r="D23" s="5" t="inlineStr">
        <is>
          <t>Moody's</t>
        </is>
      </c>
      <c r="E23" s="5" t="inlineStr">
        <is>
          <t>proprietary images; never automatable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2026-08-20T07:59:30Z</dcterms:created>
  <dcterms:modified xmlns:dcterms="http://purl.org/dc/terms/" xmlns:xsi="http://www.w3.org/2001/XMLSchema-instance" xsi:type="dcterms:W3CDTF">2026-08-20T07:59:30Z</dcterms:modified>
</cp:coreProperties>
</file>